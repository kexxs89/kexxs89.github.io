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DieseArbeitsmappe"/>
  <mc:AlternateContent xmlns:mc="http://schemas.openxmlformats.org/markup-compatibility/2006">
    <mc:Choice Requires="x15">
      <x15ac:absPath xmlns:x15ac="http://schemas.microsoft.com/office/spreadsheetml/2010/11/ac" url="D:\Dateien vom Samsung Notebook\EM Tippspiel 2024\Final\"/>
    </mc:Choice>
  </mc:AlternateContent>
  <xr:revisionPtr revIDLastSave="0" documentId="13_ncr:1_{D2BC7EBD-264C-4A1F-B790-6385FC0AAF08}" xr6:coauthVersionLast="47" xr6:coauthVersionMax="47" xr10:uidLastSave="{00000000-0000-0000-0000-000000000000}"/>
  <workbookProtection workbookAlgorithmName="SHA-512" workbookHashValue="2DeP75WIIdLJ1g+/sUnJMGvLpM/j7b2QpRbFc7g76xFBbo428pviE1Wk99SsQhWKQX2uwoidKS5T4QLlAM+Ckw==" workbookSaltValue="pd9Lzael9OD/oOsS7k0uzA==" workbookSpinCount="100000" lockStructure="1"/>
  <bookViews>
    <workbookView xWindow="1635" yWindow="720" windowWidth="24300" windowHeight="13905" xr2:uid="{00000000-000D-0000-FFFF-FFFF00000000}"/>
  </bookViews>
  <sheets>
    <sheet name="Fehler" sheetId="6" r:id="rId1"/>
    <sheet name="Spielplan" sheetId="1" state="hidden" r:id="rId2"/>
    <sheet name="Daten" sheetId="7" state="hidden" r:id="rId3"/>
    <sheet name="Tabelle2" sheetId="2" state="hidden" r:id="rId4"/>
    <sheet name="Spielregeln" sheetId="5" state="hidden" r:id="rId5"/>
    <sheet name="Hinweise" sheetId="4" state="hidden" r:id="rId6"/>
  </sheets>
  <definedNames>
    <definedName name="_xlnm._FilterDatabase" localSheetId="2" hidden="1">Daten!$A$1:$J$103</definedName>
    <definedName name="Dritter_ABF">Tabelle2!$P$3:$P$5</definedName>
    <definedName name="Dritter_ACD">Tabelle2!$M$3:$M$5</definedName>
    <definedName name="Dritter_BEF">Tabelle2!$N$3:$N$5</definedName>
    <definedName name="Dritter_CDE">Tabelle2!$O$3:$O$5</definedName>
    <definedName name="_xlnm.Print_Area" localSheetId="5">Hinweise!$B$1:$J$34</definedName>
    <definedName name="_xlnm.Print_Area" localSheetId="1">Spielplan!$A$1:$BI$120</definedName>
    <definedName name="_xlnm.Print_Area" localSheetId="4">Spielregeln!$A$1:$G$48</definedName>
    <definedName name="Gruppe_A">Tabelle2!$G$3:$G$6</definedName>
    <definedName name="Gruppe_B">Tabelle2!$H$3:$H$6</definedName>
    <definedName name="Gruppe_C">Tabelle2!$I$3:$I$6</definedName>
    <definedName name="Gruppe_D">Tabelle2!$J$3:$J$6</definedName>
    <definedName name="Gruppe_E">Tabelle2!$K$3:$K$6</definedName>
    <definedName name="Gruppe_F">Tabelle2!$L$3:$L$6</definedName>
    <definedName name="Land">Tabelle2!$A$2:$A$25</definedName>
    <definedName name="LandH">Tabelle2!$C$1:$C$5</definedName>
    <definedName name="LandV">Tabelle2!$B$1:$B$9</definedName>
    <definedName name="Spieltage">Hinweise!$N$1:$N$34</definedName>
    <definedName name="Vereine">Hinweise!$M$1:$M$15</definedName>
  </definedNames>
  <calcPr calcId="181029" iterateCount="10" iterateDelta="1"/>
</workbook>
</file>

<file path=xl/calcChain.xml><?xml version="1.0" encoding="utf-8"?>
<calcChain xmlns="http://schemas.openxmlformats.org/spreadsheetml/2006/main">
  <c r="F102" i="7" l="1"/>
  <c r="F100" i="7"/>
  <c r="F98" i="7"/>
  <c r="F96" i="7"/>
  <c r="F94" i="7"/>
  <c r="F92" i="7"/>
  <c r="F90" i="7"/>
  <c r="F88" i="7"/>
  <c r="F86" i="7"/>
  <c r="F84" i="7"/>
  <c r="F82" i="7"/>
  <c r="F80" i="7"/>
  <c r="F78" i="7"/>
  <c r="F76" i="7"/>
  <c r="F74" i="7"/>
  <c r="F72" i="7"/>
  <c r="F70" i="7"/>
  <c r="F68" i="7"/>
  <c r="F66" i="7"/>
  <c r="F64" i="7"/>
  <c r="F62" i="7"/>
  <c r="F60" i="7"/>
  <c r="F58" i="7"/>
  <c r="F56" i="7"/>
  <c r="F54" i="7"/>
  <c r="F52" i="7"/>
  <c r="F50" i="7"/>
  <c r="F48" i="7"/>
  <c r="F46" i="7"/>
  <c r="F44" i="7"/>
  <c r="F42" i="7"/>
  <c r="F40" i="7"/>
  <c r="F38" i="7"/>
  <c r="F36" i="7"/>
  <c r="F34" i="7"/>
  <c r="F32" i="7"/>
  <c r="F30" i="7"/>
  <c r="F28" i="7"/>
  <c r="F26" i="7"/>
  <c r="F24" i="7"/>
  <c r="F22" i="7"/>
  <c r="F20" i="7"/>
  <c r="F18" i="7"/>
  <c r="F16" i="7"/>
  <c r="F14" i="7"/>
  <c r="F12" i="7"/>
  <c r="F10" i="7"/>
  <c r="F8" i="7"/>
  <c r="F6" i="7"/>
  <c r="F4" i="7" l="1"/>
  <c r="F2" i="7"/>
  <c r="B7" i="4" l="1"/>
  <c r="B17" i="4"/>
  <c r="J4" i="7"/>
  <c r="I5" i="7"/>
  <c r="J6" i="7"/>
  <c r="I7" i="7"/>
  <c r="J8" i="7"/>
  <c r="I9" i="7"/>
  <c r="J10" i="7"/>
  <c r="I11" i="7"/>
  <c r="J12" i="7"/>
  <c r="I13" i="7"/>
  <c r="J14" i="7"/>
  <c r="I15" i="7"/>
  <c r="J16" i="7"/>
  <c r="I17" i="7"/>
  <c r="J18" i="7"/>
  <c r="I19" i="7"/>
  <c r="J20" i="7"/>
  <c r="I21" i="7"/>
  <c r="J22" i="7"/>
  <c r="I23" i="7"/>
  <c r="J24" i="7"/>
  <c r="I25" i="7"/>
  <c r="J26" i="7"/>
  <c r="I27" i="7"/>
  <c r="J28" i="7"/>
  <c r="I29" i="7"/>
  <c r="J30" i="7"/>
  <c r="I31" i="7"/>
  <c r="J32" i="7"/>
  <c r="I33" i="7"/>
  <c r="J34" i="7"/>
  <c r="I35" i="7"/>
  <c r="J36" i="7"/>
  <c r="I37" i="7"/>
  <c r="J38" i="7"/>
  <c r="I39" i="7"/>
  <c r="J40" i="7"/>
  <c r="I41" i="7"/>
  <c r="J42" i="7"/>
  <c r="I43" i="7"/>
  <c r="J44" i="7"/>
  <c r="I45" i="7"/>
  <c r="J46" i="7"/>
  <c r="I47" i="7"/>
  <c r="J48" i="7"/>
  <c r="I49" i="7"/>
  <c r="J50" i="7"/>
  <c r="I51" i="7"/>
  <c r="J52" i="7"/>
  <c r="I53" i="7"/>
  <c r="J54" i="7"/>
  <c r="I55" i="7"/>
  <c r="J56" i="7"/>
  <c r="I57" i="7"/>
  <c r="J58" i="7"/>
  <c r="I59" i="7"/>
  <c r="J60" i="7"/>
  <c r="I61" i="7"/>
  <c r="J62" i="7"/>
  <c r="I63" i="7"/>
  <c r="J64" i="7"/>
  <c r="I65" i="7"/>
  <c r="J66" i="7"/>
  <c r="I67" i="7"/>
  <c r="J68" i="7"/>
  <c r="I69" i="7"/>
  <c r="J70" i="7"/>
  <c r="I71" i="7"/>
  <c r="J72" i="7"/>
  <c r="I73" i="7"/>
  <c r="J74" i="7"/>
  <c r="J75" i="7"/>
  <c r="J76" i="7"/>
  <c r="J77" i="7"/>
  <c r="J78" i="7"/>
  <c r="J79" i="7"/>
  <c r="J80" i="7"/>
  <c r="J81" i="7"/>
  <c r="J82" i="7"/>
  <c r="J83" i="7"/>
  <c r="J84" i="7"/>
  <c r="J85" i="7"/>
  <c r="J86" i="7"/>
  <c r="J87" i="7"/>
  <c r="J88" i="7"/>
  <c r="J89" i="7"/>
  <c r="J90" i="7"/>
  <c r="J91" i="7"/>
  <c r="J92" i="7"/>
  <c r="J93" i="7"/>
  <c r="J94" i="7"/>
  <c r="J95" i="7"/>
  <c r="J96" i="7"/>
  <c r="J97" i="7"/>
  <c r="J98" i="7"/>
  <c r="J99" i="7"/>
  <c r="J100" i="7"/>
  <c r="J101" i="7"/>
  <c r="J102" i="7"/>
  <c r="I3" i="7"/>
  <c r="I4" i="7"/>
  <c r="I6" i="7"/>
  <c r="I8" i="7"/>
  <c r="I10" i="7"/>
  <c r="I12" i="7"/>
  <c r="I14" i="7"/>
  <c r="I16" i="7"/>
  <c r="I18" i="7"/>
  <c r="I20" i="7"/>
  <c r="I22" i="7"/>
  <c r="I24" i="7"/>
  <c r="I26" i="7"/>
  <c r="I28" i="7"/>
  <c r="I30" i="7"/>
  <c r="I32" i="7"/>
  <c r="I34" i="7"/>
  <c r="I36" i="7"/>
  <c r="I38" i="7"/>
  <c r="I40" i="7"/>
  <c r="I42" i="7"/>
  <c r="I44" i="7"/>
  <c r="I46" i="7"/>
  <c r="I48" i="7"/>
  <c r="I50" i="7"/>
  <c r="I52" i="7"/>
  <c r="I54" i="7"/>
  <c r="I56" i="7"/>
  <c r="I58" i="7"/>
  <c r="I60" i="7"/>
  <c r="I62" i="7"/>
  <c r="I64" i="7"/>
  <c r="I66" i="7"/>
  <c r="I68" i="7"/>
  <c r="I70" i="7"/>
  <c r="I72" i="7"/>
  <c r="I2" i="7"/>
  <c r="CF32" i="1" l="1"/>
  <c r="CG32" i="1" s="1"/>
  <c r="CF31" i="1"/>
  <c r="CG31" i="1" s="1"/>
  <c r="CF25" i="1"/>
  <c r="CG25" i="1" s="1"/>
  <c r="CF24" i="1"/>
  <c r="CG24" i="1" s="1"/>
  <c r="CF23" i="1"/>
  <c r="CG23" i="1" s="1"/>
  <c r="CF22" i="1"/>
  <c r="CG22" i="1" s="1"/>
  <c r="CF21" i="1"/>
  <c r="CG21" i="1" s="1"/>
  <c r="CF20" i="1"/>
  <c r="CG20" i="1" s="1"/>
  <c r="CF14" i="1"/>
  <c r="CF13" i="1"/>
  <c r="CF12" i="1"/>
  <c r="CF11" i="1"/>
  <c r="CF10" i="1"/>
  <c r="CF9" i="1"/>
  <c r="CG14" i="1" l="1"/>
  <c r="CH14" i="1"/>
  <c r="CG13" i="1"/>
  <c r="CH13" i="1"/>
  <c r="CG12" i="1"/>
  <c r="CH12" i="1" s="1"/>
  <c r="CG11" i="1"/>
  <c r="CH11" i="1" s="1"/>
  <c r="CG10" i="1"/>
  <c r="CH10" i="1"/>
  <c r="CG9" i="1"/>
  <c r="CH9" i="1"/>
  <c r="E22" i="5"/>
  <c r="D22" i="5"/>
  <c r="F21" i="5"/>
  <c r="E21" i="5"/>
  <c r="D21" i="5"/>
  <c r="E20" i="5"/>
  <c r="D20" i="5"/>
  <c r="E19" i="5"/>
  <c r="D19" i="5"/>
  <c r="E18" i="5"/>
  <c r="D18" i="5"/>
  <c r="E17" i="5"/>
  <c r="D17" i="5"/>
  <c r="B4" i="5"/>
  <c r="AG114" i="1" l="1"/>
  <c r="I84" i="5" l="1"/>
  <c r="I83" i="5"/>
  <c r="I82" i="5"/>
  <c r="I81" i="5"/>
  <c r="I80" i="5"/>
  <c r="I79" i="5"/>
  <c r="I78" i="5"/>
  <c r="I77" i="5"/>
  <c r="I76" i="5"/>
  <c r="I75" i="5"/>
  <c r="I74" i="5"/>
  <c r="I73" i="5"/>
  <c r="I72" i="5"/>
  <c r="I71" i="5"/>
  <c r="I70" i="5"/>
  <c r="I69" i="5"/>
  <c r="I68" i="5"/>
  <c r="I67" i="5"/>
  <c r="I66" i="5"/>
  <c r="I65" i="5"/>
  <c r="I64" i="5"/>
  <c r="I63" i="5"/>
  <c r="I62" i="5"/>
  <c r="I61" i="5"/>
  <c r="DH7" i="1" l="1"/>
  <c r="CY7" i="1"/>
  <c r="CX7" i="1"/>
  <c r="CZ7" i="1" l="1"/>
  <c r="DB106" i="1"/>
  <c r="DB105" i="1"/>
  <c r="CY42" i="1"/>
  <c r="CX42" i="1"/>
  <c r="CY43" i="1"/>
  <c r="CX43" i="1"/>
  <c r="CY40" i="1"/>
  <c r="CX40" i="1"/>
  <c r="CY41" i="1"/>
  <c r="CX41" i="1"/>
  <c r="CY9" i="1"/>
  <c r="CX9" i="1"/>
  <c r="CY8" i="1"/>
  <c r="CX8" i="1"/>
  <c r="CY10" i="1"/>
  <c r="CX10" i="1"/>
  <c r="CF101" i="1" l="1"/>
  <c r="CG101" i="1" s="1"/>
  <c r="CF96" i="1"/>
  <c r="CG96" i="1" s="1"/>
  <c r="CF95" i="1"/>
  <c r="CG95" i="1" s="1"/>
  <c r="CH95" i="1" s="1"/>
  <c r="CF90" i="1"/>
  <c r="CG90" i="1" s="1"/>
  <c r="CH90" i="1" s="1"/>
  <c r="CF89" i="1"/>
  <c r="CG89" i="1" s="1"/>
  <c r="CF88" i="1"/>
  <c r="CG88" i="1" s="1"/>
  <c r="CF87" i="1"/>
  <c r="CG87" i="1" s="1"/>
  <c r="CF82" i="1"/>
  <c r="CG82" i="1" s="1"/>
  <c r="CH82" i="1" s="1"/>
  <c r="CF81" i="1"/>
  <c r="CG81" i="1" s="1"/>
  <c r="CF80" i="1"/>
  <c r="CG80" i="1" s="1"/>
  <c r="CH80" i="1" s="1"/>
  <c r="CF79" i="1"/>
  <c r="CG79" i="1" s="1"/>
  <c r="CF78" i="1"/>
  <c r="CG78" i="1" s="1"/>
  <c r="CF77" i="1"/>
  <c r="CG77" i="1" s="1"/>
  <c r="CF76" i="1"/>
  <c r="CG76" i="1" s="1"/>
  <c r="CF75" i="1"/>
  <c r="CG75" i="1" s="1"/>
  <c r="CH32" i="1"/>
  <c r="CH31" i="1"/>
  <c r="CH25" i="1"/>
  <c r="CH24" i="1"/>
  <c r="CH23" i="1"/>
  <c r="CH22" i="1"/>
  <c r="CH21" i="1"/>
  <c r="CF69" i="1"/>
  <c r="CG69" i="1" s="1"/>
  <c r="CF68" i="1"/>
  <c r="CG68" i="1" s="1"/>
  <c r="CH68" i="1" s="1"/>
  <c r="CF67" i="1"/>
  <c r="CG67" i="1" s="1"/>
  <c r="CH67" i="1" s="1"/>
  <c r="CF66" i="1"/>
  <c r="CG66" i="1" s="1"/>
  <c r="CF65" i="1"/>
  <c r="CG65" i="1" s="1"/>
  <c r="CF64" i="1"/>
  <c r="CG64" i="1" s="1"/>
  <c r="CH64" i="1" s="1"/>
  <c r="CF58" i="1"/>
  <c r="CG58" i="1" s="1"/>
  <c r="CF57" i="1"/>
  <c r="CG57" i="1" s="1"/>
  <c r="CH57" i="1" s="1"/>
  <c r="CF56" i="1"/>
  <c r="CG56" i="1" s="1"/>
  <c r="CH56" i="1" s="1"/>
  <c r="CF55" i="1"/>
  <c r="CG55" i="1" s="1"/>
  <c r="CF54" i="1"/>
  <c r="CG54" i="1" s="1"/>
  <c r="CF53" i="1"/>
  <c r="CG53" i="1" s="1"/>
  <c r="CH53" i="1" s="1"/>
  <c r="CF47" i="1"/>
  <c r="CG47" i="1" s="1"/>
  <c r="CH47" i="1" s="1"/>
  <c r="CF46" i="1"/>
  <c r="CG46" i="1" s="1"/>
  <c r="CH46" i="1" s="1"/>
  <c r="CF45" i="1"/>
  <c r="CG45" i="1" s="1"/>
  <c r="CF44" i="1"/>
  <c r="CG44" i="1" s="1"/>
  <c r="CF43" i="1"/>
  <c r="CG43" i="1" s="1"/>
  <c r="CH43" i="1" s="1"/>
  <c r="CF42" i="1"/>
  <c r="CG42" i="1" s="1"/>
  <c r="CH42" i="1" s="1"/>
  <c r="CF36" i="1"/>
  <c r="CG36" i="1" s="1"/>
  <c r="CH36" i="1" s="1"/>
  <c r="CF35" i="1"/>
  <c r="CG35" i="1" s="1"/>
  <c r="CF34" i="1"/>
  <c r="CG34" i="1" s="1"/>
  <c r="CF33" i="1"/>
  <c r="CG33" i="1" s="1"/>
  <c r="DY1" i="1"/>
  <c r="X114" i="1"/>
  <c r="L6" i="2"/>
  <c r="A25" i="2" s="1"/>
  <c r="L5" i="2"/>
  <c r="A24" i="2" s="1"/>
  <c r="L4" i="2"/>
  <c r="A23" i="2" s="1"/>
  <c r="L3" i="2"/>
  <c r="A22" i="2" s="1"/>
  <c r="K6" i="2"/>
  <c r="A21" i="2" s="1"/>
  <c r="K5" i="2"/>
  <c r="A20" i="2" s="1"/>
  <c r="K4" i="2"/>
  <c r="A19" i="2" s="1"/>
  <c r="K3" i="2"/>
  <c r="A18" i="2" s="1"/>
  <c r="J6" i="2"/>
  <c r="A17" i="2" s="1"/>
  <c r="J5" i="2"/>
  <c r="A16" i="2" s="1"/>
  <c r="J4" i="2"/>
  <c r="A15" i="2" s="1"/>
  <c r="J3" i="2"/>
  <c r="A14" i="2" s="1"/>
  <c r="I6" i="2"/>
  <c r="A13" i="2" s="1"/>
  <c r="I5" i="2"/>
  <c r="A12" i="2" s="1"/>
  <c r="I4" i="2"/>
  <c r="A11" i="2" s="1"/>
  <c r="I3" i="2"/>
  <c r="A10" i="2" s="1"/>
  <c r="H6" i="2"/>
  <c r="A9" i="2" s="1"/>
  <c r="H5" i="2"/>
  <c r="A8" i="2" s="1"/>
  <c r="H4" i="2"/>
  <c r="A7" i="2" s="1"/>
  <c r="H3" i="2"/>
  <c r="A6" i="2" s="1"/>
  <c r="G6" i="2"/>
  <c r="A5" i="2" s="1"/>
  <c r="G5" i="2"/>
  <c r="A4" i="2" s="1"/>
  <c r="G4" i="2"/>
  <c r="A3" i="2" s="1"/>
  <c r="G3" i="2"/>
  <c r="A2" i="2" s="1"/>
  <c r="AQ54" i="1"/>
  <c r="AQ53" i="1"/>
  <c r="CU96" i="1" s="1"/>
  <c r="AQ52" i="1"/>
  <c r="W54" i="1"/>
  <c r="W53" i="1"/>
  <c r="CU95" i="1" s="1"/>
  <c r="W52" i="1"/>
  <c r="AQ51" i="1"/>
  <c r="W51" i="1"/>
  <c r="C51" i="1"/>
  <c r="DH63" i="1"/>
  <c r="DH64" i="1"/>
  <c r="DH65" i="1"/>
  <c r="DH62" i="1"/>
  <c r="DH51" i="1"/>
  <c r="DH54" i="1"/>
  <c r="DH52" i="1"/>
  <c r="DH53" i="1"/>
  <c r="DH42" i="1"/>
  <c r="DH41" i="1"/>
  <c r="DH40" i="1"/>
  <c r="DH43" i="1"/>
  <c r="DH30" i="1"/>
  <c r="DH31" i="1"/>
  <c r="DH29" i="1"/>
  <c r="DH32" i="1"/>
  <c r="DH19" i="1"/>
  <c r="DH18" i="1"/>
  <c r="DH21" i="1"/>
  <c r="DH20" i="1"/>
  <c r="DH9" i="1"/>
  <c r="DH10" i="1"/>
  <c r="DH8" i="1"/>
  <c r="CY63" i="1"/>
  <c r="CX63" i="1"/>
  <c r="CY64" i="1"/>
  <c r="CX64" i="1"/>
  <c r="CY65" i="1"/>
  <c r="CX65" i="1"/>
  <c r="CY62" i="1"/>
  <c r="CX62" i="1"/>
  <c r="CY51" i="1"/>
  <c r="CX51" i="1"/>
  <c r="CY54" i="1"/>
  <c r="CX54" i="1"/>
  <c r="CY52" i="1"/>
  <c r="CX52" i="1"/>
  <c r="CY53" i="1"/>
  <c r="CX53" i="1"/>
  <c r="M54" i="1"/>
  <c r="K54" i="1"/>
  <c r="K51" i="1"/>
  <c r="M52" i="1"/>
  <c r="K52" i="1"/>
  <c r="M53" i="1"/>
  <c r="CY94" i="1" s="1"/>
  <c r="CX32" i="1"/>
  <c r="C54" i="1"/>
  <c r="C53" i="1"/>
  <c r="CU94" i="1" s="1"/>
  <c r="C52" i="1"/>
  <c r="C23" i="1"/>
  <c r="CQ69" i="1"/>
  <c r="CN69" i="1"/>
  <c r="CM69" i="1"/>
  <c r="DL67" i="1" s="1"/>
  <c r="CL69" i="1"/>
  <c r="CK69" i="1"/>
  <c r="DJ67" i="1" s="1"/>
  <c r="CJ69" i="1"/>
  <c r="CI69" i="1"/>
  <c r="CQ68" i="1"/>
  <c r="CN68" i="1"/>
  <c r="CM68" i="1"/>
  <c r="DL66" i="1" s="1"/>
  <c r="CL68" i="1"/>
  <c r="CK68" i="1"/>
  <c r="DJ66" i="1" s="1"/>
  <c r="CJ68" i="1"/>
  <c r="CI68" i="1"/>
  <c r="CQ67" i="1"/>
  <c r="CN67" i="1"/>
  <c r="CM67" i="1"/>
  <c r="DL65" i="1" s="1"/>
  <c r="CL67" i="1"/>
  <c r="CK67" i="1"/>
  <c r="DJ65" i="1" s="1"/>
  <c r="CJ67" i="1"/>
  <c r="CI67" i="1"/>
  <c r="CQ66" i="1"/>
  <c r="CN66" i="1"/>
  <c r="CM66" i="1"/>
  <c r="DL64" i="1" s="1"/>
  <c r="CL66" i="1"/>
  <c r="CK66" i="1"/>
  <c r="DJ64" i="1" s="1"/>
  <c r="CJ66" i="1"/>
  <c r="CI66" i="1"/>
  <c r="CQ65" i="1"/>
  <c r="CN65" i="1"/>
  <c r="CM65" i="1"/>
  <c r="DL63" i="1" s="1"/>
  <c r="CL65" i="1"/>
  <c r="CK65" i="1"/>
  <c r="DJ63" i="1" s="1"/>
  <c r="CJ65" i="1"/>
  <c r="CI65" i="1"/>
  <c r="CM64" i="1"/>
  <c r="DL62" i="1" s="1"/>
  <c r="CK64" i="1"/>
  <c r="CI64" i="1"/>
  <c r="CJ64" i="1"/>
  <c r="CQ64" i="1"/>
  <c r="CN64" i="1"/>
  <c r="CL64" i="1"/>
  <c r="CO64" i="1" s="1"/>
  <c r="CQ47" i="1"/>
  <c r="CN47" i="1"/>
  <c r="CM47" i="1"/>
  <c r="CL47" i="1"/>
  <c r="CK47" i="1"/>
  <c r="DJ45" i="1" s="1"/>
  <c r="CJ47" i="1"/>
  <c r="CI47" i="1"/>
  <c r="CQ46" i="1"/>
  <c r="CN46" i="1"/>
  <c r="CM46" i="1"/>
  <c r="CL46" i="1"/>
  <c r="CK46" i="1"/>
  <c r="DJ44" i="1" s="1"/>
  <c r="CJ46" i="1"/>
  <c r="CI46" i="1"/>
  <c r="CQ45" i="1"/>
  <c r="CN45" i="1"/>
  <c r="CM45" i="1"/>
  <c r="DL43" i="1" s="1"/>
  <c r="CL45" i="1"/>
  <c r="CK45" i="1"/>
  <c r="DJ43" i="1" s="1"/>
  <c r="CJ45" i="1"/>
  <c r="CI45" i="1"/>
  <c r="CN44" i="1"/>
  <c r="CM44" i="1"/>
  <c r="CL44" i="1"/>
  <c r="CK44" i="1"/>
  <c r="DJ42" i="1" s="1"/>
  <c r="CJ44" i="1"/>
  <c r="CI44" i="1"/>
  <c r="CQ44" i="1"/>
  <c r="CQ43" i="1"/>
  <c r="CN43" i="1"/>
  <c r="CM43" i="1"/>
  <c r="DL41" i="1" s="1"/>
  <c r="CL43" i="1"/>
  <c r="CK43" i="1"/>
  <c r="DJ41" i="1" s="1"/>
  <c r="CJ43" i="1"/>
  <c r="CI43" i="1"/>
  <c r="CQ42" i="1"/>
  <c r="CN42" i="1"/>
  <c r="CM42" i="1"/>
  <c r="DL40" i="1" s="1"/>
  <c r="CL42" i="1"/>
  <c r="CK42" i="1"/>
  <c r="DJ40" i="1" s="1"/>
  <c r="CJ42" i="1"/>
  <c r="CI42" i="1"/>
  <c r="CM58" i="1"/>
  <c r="DL56" i="1" s="1"/>
  <c r="CM57" i="1"/>
  <c r="DL55" i="1" s="1"/>
  <c r="CM56" i="1"/>
  <c r="DL54" i="1" s="1"/>
  <c r="CM55" i="1"/>
  <c r="DL53" i="1" s="1"/>
  <c r="CM54" i="1"/>
  <c r="DL52" i="1" s="1"/>
  <c r="CK58" i="1"/>
  <c r="CK57" i="1"/>
  <c r="DJ55" i="1" s="1"/>
  <c r="CK56" i="1"/>
  <c r="DJ54" i="1" s="1"/>
  <c r="CK55" i="1"/>
  <c r="DJ53" i="1" s="1"/>
  <c r="CK54" i="1"/>
  <c r="CM53" i="1"/>
  <c r="DL51" i="1" s="1"/>
  <c r="CK53" i="1"/>
  <c r="DJ51" i="1" s="1"/>
  <c r="CI9" i="1"/>
  <c r="CJ58" i="1"/>
  <c r="CJ57" i="1"/>
  <c r="CJ56" i="1"/>
  <c r="CJ55" i="1"/>
  <c r="CJ54" i="1"/>
  <c r="CI58" i="1"/>
  <c r="CI57" i="1"/>
  <c r="CI56" i="1"/>
  <c r="CI54" i="1"/>
  <c r="CI55" i="1"/>
  <c r="CJ53" i="1"/>
  <c r="CI53" i="1"/>
  <c r="CQ53" i="1"/>
  <c r="CN53" i="1"/>
  <c r="CL53" i="1"/>
  <c r="CO53" i="1" s="1"/>
  <c r="CQ54" i="1"/>
  <c r="CN54" i="1"/>
  <c r="CL54" i="1"/>
  <c r="CQ55" i="1"/>
  <c r="CN55" i="1"/>
  <c r="CL55" i="1"/>
  <c r="CQ56" i="1"/>
  <c r="CN56" i="1"/>
  <c r="CL56" i="1"/>
  <c r="CQ57" i="1"/>
  <c r="CN57" i="1"/>
  <c r="CL57" i="1"/>
  <c r="CQ58" i="1"/>
  <c r="CN58" i="1"/>
  <c r="CL58" i="1"/>
  <c r="M51" i="1"/>
  <c r="K53" i="1"/>
  <c r="CW94" i="1" s="1"/>
  <c r="BY54" i="1"/>
  <c r="BY53" i="1"/>
  <c r="BY52" i="1"/>
  <c r="AY47" i="1"/>
  <c r="AE47" i="1"/>
  <c r="K47" i="1"/>
  <c r="AY45" i="1"/>
  <c r="AE45" i="1"/>
  <c r="K45" i="1"/>
  <c r="AY43" i="1"/>
  <c r="AE43" i="1"/>
  <c r="K43" i="1"/>
  <c r="AY41" i="1"/>
  <c r="AE41" i="1"/>
  <c r="K41" i="1"/>
  <c r="AY39" i="1"/>
  <c r="AE39" i="1"/>
  <c r="K39" i="1"/>
  <c r="AY37" i="1"/>
  <c r="AE37" i="1"/>
  <c r="K37" i="1"/>
  <c r="DJ52" i="1"/>
  <c r="DJ62" i="1"/>
  <c r="CN32" i="1"/>
  <c r="CN33" i="1"/>
  <c r="CL35" i="1"/>
  <c r="CN31" i="1"/>
  <c r="CL33" i="1"/>
  <c r="CL36" i="1"/>
  <c r="CN34" i="1"/>
  <c r="CN36" i="1"/>
  <c r="CL32" i="1"/>
  <c r="CN35" i="1"/>
  <c r="CP35" i="1" s="1"/>
  <c r="CL31" i="1"/>
  <c r="CL34" i="1"/>
  <c r="CN25" i="1"/>
  <c r="CN23" i="1"/>
  <c r="CL21" i="1"/>
  <c r="CN20" i="1"/>
  <c r="CL25" i="1"/>
  <c r="CL22" i="1"/>
  <c r="CO22" i="1" s="1"/>
  <c r="CL20" i="1"/>
  <c r="CN24" i="1"/>
  <c r="CL23" i="1"/>
  <c r="CN21" i="1"/>
  <c r="CN22" i="1"/>
  <c r="CL24" i="1"/>
  <c r="CN9" i="1"/>
  <c r="CL11" i="1"/>
  <c r="CL14" i="1"/>
  <c r="CN12" i="1"/>
  <c r="CN14" i="1"/>
  <c r="CL10" i="1"/>
  <c r="CN13" i="1"/>
  <c r="CL9" i="1"/>
  <c r="CL12" i="1"/>
  <c r="CN10" i="1"/>
  <c r="CN11" i="1"/>
  <c r="CL13" i="1"/>
  <c r="DL42" i="1"/>
  <c r="DL45" i="1"/>
  <c r="CM36" i="1"/>
  <c r="DL34" i="1" s="1"/>
  <c r="CM35" i="1"/>
  <c r="DL33" i="1" s="1"/>
  <c r="CM34" i="1"/>
  <c r="DL32" i="1" s="1"/>
  <c r="CM33" i="1"/>
  <c r="CM32" i="1"/>
  <c r="DL30" i="1" s="1"/>
  <c r="CM31" i="1"/>
  <c r="CM25" i="1"/>
  <c r="DL23" i="1"/>
  <c r="CM24" i="1"/>
  <c r="DL22" i="1" s="1"/>
  <c r="CM23" i="1"/>
  <c r="CM22" i="1"/>
  <c r="DL20" i="1"/>
  <c r="CM21" i="1"/>
  <c r="DL19" i="1" s="1"/>
  <c r="CM20" i="1"/>
  <c r="DL18" i="1" s="1"/>
  <c r="CM14" i="1"/>
  <c r="DL12" i="1"/>
  <c r="CM13" i="1"/>
  <c r="CM12" i="1"/>
  <c r="DL10" i="1" s="1"/>
  <c r="CM11" i="1"/>
  <c r="DL9" i="1"/>
  <c r="CM10" i="1"/>
  <c r="DL8" i="1" s="1"/>
  <c r="CM9" i="1"/>
  <c r="CK36" i="1"/>
  <c r="DJ34" i="1" s="1"/>
  <c r="CK35" i="1"/>
  <c r="DJ33" i="1"/>
  <c r="CK34" i="1"/>
  <c r="DJ32" i="1" s="1"/>
  <c r="CK33" i="1"/>
  <c r="DJ31" i="1"/>
  <c r="CK32" i="1"/>
  <c r="DJ30" i="1" s="1"/>
  <c r="CK31" i="1"/>
  <c r="DJ29" i="1" s="1"/>
  <c r="CK25" i="1"/>
  <c r="DJ23" i="1"/>
  <c r="CK24" i="1"/>
  <c r="DJ22" i="1" s="1"/>
  <c r="CK23" i="1"/>
  <c r="DJ21" i="1" s="1"/>
  <c r="CK22" i="1"/>
  <c r="DJ20" i="1" s="1"/>
  <c r="CK21" i="1"/>
  <c r="DJ19" i="1" s="1"/>
  <c r="CK20" i="1"/>
  <c r="DJ18" i="1" s="1"/>
  <c r="CK14" i="1"/>
  <c r="DJ12" i="1" s="1"/>
  <c r="CK13" i="1"/>
  <c r="DJ11" i="1" s="1"/>
  <c r="CK12" i="1"/>
  <c r="DJ10" i="1" s="1"/>
  <c r="CK11" i="1"/>
  <c r="DJ9" i="1" s="1"/>
  <c r="CK10" i="1"/>
  <c r="DJ8" i="1" s="1"/>
  <c r="CK9" i="1"/>
  <c r="DJ7" i="1" s="1"/>
  <c r="K9" i="1"/>
  <c r="K11" i="1"/>
  <c r="K13" i="1"/>
  <c r="K15" i="1"/>
  <c r="K17" i="1"/>
  <c r="K19" i="1"/>
  <c r="AY19" i="1"/>
  <c r="AY17" i="1"/>
  <c r="AY15" i="1"/>
  <c r="AY13" i="1"/>
  <c r="AY11" i="1"/>
  <c r="AY9" i="1"/>
  <c r="AE19" i="1"/>
  <c r="AE17" i="1"/>
  <c r="AE15" i="1"/>
  <c r="AE13" i="1"/>
  <c r="AE11" i="1"/>
  <c r="AE9" i="1"/>
  <c r="CJ9" i="1"/>
  <c r="CJ36" i="1"/>
  <c r="CI36" i="1"/>
  <c r="CJ35" i="1"/>
  <c r="CI35" i="1"/>
  <c r="CJ34" i="1"/>
  <c r="CI34" i="1"/>
  <c r="CJ33" i="1"/>
  <c r="CI33" i="1"/>
  <c r="CJ32" i="1"/>
  <c r="CI32" i="1"/>
  <c r="CJ31" i="1"/>
  <c r="CI31" i="1"/>
  <c r="CJ25" i="1"/>
  <c r="CI25" i="1"/>
  <c r="CJ24" i="1"/>
  <c r="CI24" i="1"/>
  <c r="CJ23" i="1"/>
  <c r="CI23" i="1"/>
  <c r="CJ22" i="1"/>
  <c r="CI22" i="1"/>
  <c r="CJ21" i="1"/>
  <c r="CI21" i="1"/>
  <c r="CJ20" i="1"/>
  <c r="CI20" i="1"/>
  <c r="CJ14" i="1"/>
  <c r="CI14" i="1"/>
  <c r="CJ13" i="1"/>
  <c r="CI13" i="1"/>
  <c r="CJ12" i="1"/>
  <c r="CI12" i="1"/>
  <c r="CJ11" i="1"/>
  <c r="CI11" i="1"/>
  <c r="CJ10" i="1"/>
  <c r="CI10" i="1"/>
  <c r="AQ23" i="1"/>
  <c r="AQ24" i="1"/>
  <c r="C24" i="1"/>
  <c r="W23" i="1"/>
  <c r="W24" i="1"/>
  <c r="M24" i="1"/>
  <c r="K25" i="1"/>
  <c r="CW91" i="1" s="1"/>
  <c r="M25" i="1"/>
  <c r="CY91" i="1" s="1"/>
  <c r="K26" i="1"/>
  <c r="M26" i="1"/>
  <c r="K23" i="1"/>
  <c r="CY32" i="1"/>
  <c r="CX30" i="1"/>
  <c r="CY30" i="1"/>
  <c r="CX29" i="1"/>
  <c r="CY29" i="1"/>
  <c r="CX31" i="1"/>
  <c r="CY31" i="1"/>
  <c r="CX21" i="1"/>
  <c r="CY21" i="1"/>
  <c r="CX20" i="1"/>
  <c r="CY20" i="1"/>
  <c r="CX19" i="1"/>
  <c r="CY19" i="1"/>
  <c r="CX18" i="1"/>
  <c r="CY18" i="1"/>
  <c r="CE4" i="1"/>
  <c r="AQ25" i="1"/>
  <c r="CU93" i="1" s="1"/>
  <c r="AQ26" i="1"/>
  <c r="W25" i="1"/>
  <c r="CU92" i="1" s="1"/>
  <c r="W26" i="1"/>
  <c r="C25" i="1"/>
  <c r="CU91" i="1" s="1"/>
  <c r="C26" i="1"/>
  <c r="CQ32" i="1"/>
  <c r="CQ33" i="1"/>
  <c r="CQ34" i="1"/>
  <c r="CQ35" i="1"/>
  <c r="CQ36" i="1"/>
  <c r="CQ31" i="1"/>
  <c r="CQ25" i="1"/>
  <c r="CQ24" i="1"/>
  <c r="CQ23" i="1"/>
  <c r="CQ22" i="1"/>
  <c r="CQ21" i="1"/>
  <c r="CQ20" i="1"/>
  <c r="CQ14" i="1"/>
  <c r="CQ13" i="1"/>
  <c r="CQ12" i="1"/>
  <c r="CQ11" i="1"/>
  <c r="CQ10" i="1"/>
  <c r="CQ9" i="1"/>
  <c r="DL21" i="1"/>
  <c r="DL7" i="1"/>
  <c r="DL29" i="1"/>
  <c r="DL11" i="1"/>
  <c r="DL31" i="1"/>
  <c r="AG23" i="1" l="1"/>
  <c r="AY52" i="1"/>
  <c r="BA52" i="1"/>
  <c r="CO42" i="1"/>
  <c r="CO46" i="1"/>
  <c r="CP33" i="1"/>
  <c r="CP22" i="1"/>
  <c r="CP46" i="1"/>
  <c r="CH96" i="1"/>
  <c r="CD96" i="1" s="1"/>
  <c r="T104" i="1" s="1"/>
  <c r="F101" i="7" s="1"/>
  <c r="CH88" i="1"/>
  <c r="CD88" i="1" s="1"/>
  <c r="T89" i="1" s="1"/>
  <c r="F93" i="7" s="1"/>
  <c r="CH89" i="1"/>
  <c r="CD89" i="1" s="1"/>
  <c r="T92" i="1" s="1"/>
  <c r="F95" i="7" s="1"/>
  <c r="CH87" i="1"/>
  <c r="CD87" i="1" s="1"/>
  <c r="T86" i="1" s="1"/>
  <c r="F91" i="7" s="1"/>
  <c r="CH81" i="1"/>
  <c r="CD81" i="1" s="1"/>
  <c r="T77" i="1" s="1"/>
  <c r="F87" i="7" s="1"/>
  <c r="CH79" i="1"/>
  <c r="CD79" i="1" s="1"/>
  <c r="T71" i="1" s="1"/>
  <c r="F83" i="7" s="1"/>
  <c r="CH78" i="1"/>
  <c r="CD78" i="1" s="1"/>
  <c r="T68" i="1" s="1"/>
  <c r="F81" i="7" s="1"/>
  <c r="CD80" i="1"/>
  <c r="T74" i="1" s="1"/>
  <c r="F85" i="7" s="1"/>
  <c r="CH44" i="1"/>
  <c r="CD44" i="1" s="1"/>
  <c r="T41" i="1" s="1"/>
  <c r="F41" i="7" s="1"/>
  <c r="CH45" i="1"/>
  <c r="CD45" i="1" s="1"/>
  <c r="T43" i="1" s="1"/>
  <c r="F43" i="7" s="1"/>
  <c r="CO58" i="1"/>
  <c r="CH54" i="1"/>
  <c r="CD54" i="1" s="1"/>
  <c r="AN39" i="1" s="1"/>
  <c r="F21" i="7" s="1"/>
  <c r="CH58" i="1"/>
  <c r="CD58" i="1" s="1"/>
  <c r="AN47" i="1" s="1"/>
  <c r="F69" i="7" s="1"/>
  <c r="CH55" i="1"/>
  <c r="CD55" i="1" s="1"/>
  <c r="AN41" i="1" s="1"/>
  <c r="F39" i="7" s="1"/>
  <c r="CH65" i="1"/>
  <c r="CD65" i="1" s="1"/>
  <c r="BH39" i="1" s="1"/>
  <c r="F25" i="7" s="1"/>
  <c r="CH66" i="1"/>
  <c r="CD66" i="1" s="1"/>
  <c r="BH41" i="1" s="1"/>
  <c r="F45" i="7" s="1"/>
  <c r="CH34" i="1"/>
  <c r="CD34" i="1" s="1"/>
  <c r="BH15" i="1" s="1"/>
  <c r="F37" i="7" s="1"/>
  <c r="CH33" i="1"/>
  <c r="CD33" i="1" s="1"/>
  <c r="BH13" i="1" s="1"/>
  <c r="F33" i="7" s="1"/>
  <c r="CH35" i="1"/>
  <c r="CH69" i="1"/>
  <c r="CD69" i="1" s="1"/>
  <c r="BH47" i="1" s="1"/>
  <c r="F73" i="7" s="1"/>
  <c r="CD42" i="1"/>
  <c r="T37" i="1" s="1"/>
  <c r="F11" i="7" s="1"/>
  <c r="CD46" i="1"/>
  <c r="T45" i="1" s="1"/>
  <c r="F63" i="7" s="1"/>
  <c r="CD68" i="1"/>
  <c r="BH45" i="1" s="1"/>
  <c r="F71" i="7" s="1"/>
  <c r="CD24" i="1"/>
  <c r="AN17" i="1" s="1"/>
  <c r="F59" i="7" s="1"/>
  <c r="CH20" i="1"/>
  <c r="CD20" i="1" s="1"/>
  <c r="AN9" i="1" s="1"/>
  <c r="F7" i="7" s="1"/>
  <c r="CD14" i="1"/>
  <c r="T19" i="1" s="1"/>
  <c r="F53" i="7" s="1"/>
  <c r="CD25" i="1"/>
  <c r="AN19" i="1" s="1"/>
  <c r="F61" i="7" s="1"/>
  <c r="CD56" i="1"/>
  <c r="AN43" i="1" s="1"/>
  <c r="F49" i="7" s="1"/>
  <c r="CP69" i="1"/>
  <c r="CO67" i="1"/>
  <c r="CP66" i="1"/>
  <c r="CD95" i="1"/>
  <c r="T101" i="1" s="1"/>
  <c r="F99" i="7" s="1"/>
  <c r="CD90" i="1"/>
  <c r="T95" i="1" s="1"/>
  <c r="F97" i="7" s="1"/>
  <c r="CW86" i="1"/>
  <c r="CX81" i="1"/>
  <c r="CX75" i="1"/>
  <c r="CX78" i="1"/>
  <c r="CW87" i="1"/>
  <c r="CX82" i="1"/>
  <c r="CX77" i="1"/>
  <c r="CW85" i="1"/>
  <c r="CW80" i="1"/>
  <c r="CW84" i="1"/>
  <c r="CX86" i="1"/>
  <c r="CX85" i="1"/>
  <c r="CW79" i="1"/>
  <c r="CW83" i="1"/>
  <c r="CW78" i="1"/>
  <c r="CX74" i="1"/>
  <c r="CW81" i="1"/>
  <c r="CX87" i="1"/>
  <c r="CW82" i="1"/>
  <c r="CX76" i="1"/>
  <c r="CW77" i="1"/>
  <c r="CW76" i="1"/>
  <c r="CY86" i="1"/>
  <c r="CY87" i="1"/>
  <c r="CY82" i="1"/>
  <c r="CX73" i="1"/>
  <c r="CY85" i="1"/>
  <c r="CY80" i="1"/>
  <c r="CZ74" i="1"/>
  <c r="CY81" i="1"/>
  <c r="CY84" i="1"/>
  <c r="CY79" i="1"/>
  <c r="CZ87" i="1"/>
  <c r="CZ83" i="1"/>
  <c r="CZ73" i="1"/>
  <c r="CZ75" i="1"/>
  <c r="CY78" i="1"/>
  <c r="CZ76" i="1"/>
  <c r="CZ86" i="1"/>
  <c r="CZ77" i="1"/>
  <c r="CY75" i="1"/>
  <c r="CZ85" i="1"/>
  <c r="CY73" i="1"/>
  <c r="CZ84" i="1"/>
  <c r="CY74" i="1"/>
  <c r="CZ81" i="1"/>
  <c r="CZ78" i="1"/>
  <c r="CY76" i="1"/>
  <c r="CW75" i="1"/>
  <c r="CZ82" i="1"/>
  <c r="CY77" i="1"/>
  <c r="CZ80" i="1"/>
  <c r="CZ79" i="1"/>
  <c r="CW74" i="1"/>
  <c r="CW73" i="1"/>
  <c r="CD82" i="1"/>
  <c r="T80" i="1" s="1"/>
  <c r="F89" i="7" s="1"/>
  <c r="AE53" i="1"/>
  <c r="CW95" i="1" s="1"/>
  <c r="CO57" i="1"/>
  <c r="DJ56" i="1"/>
  <c r="CO47" i="1"/>
  <c r="CO44" i="1"/>
  <c r="DL44" i="1"/>
  <c r="CO43" i="1"/>
  <c r="CP25" i="1"/>
  <c r="CO12" i="1"/>
  <c r="CO11" i="1"/>
  <c r="CP14" i="1"/>
  <c r="CO10" i="1"/>
  <c r="CO23" i="1"/>
  <c r="CO32" i="1"/>
  <c r="CO33" i="1"/>
  <c r="CP44" i="1"/>
  <c r="CO45" i="1"/>
  <c r="CO13" i="1"/>
  <c r="CO9" i="1"/>
  <c r="CO34" i="1"/>
  <c r="CP57" i="1"/>
  <c r="CO54" i="1"/>
  <c r="CP47" i="1"/>
  <c r="CO65" i="1"/>
  <c r="CO69" i="1"/>
  <c r="CO36" i="1"/>
  <c r="CP11" i="1"/>
  <c r="DA7" i="1"/>
  <c r="CO14" i="1"/>
  <c r="CO20" i="1"/>
  <c r="CO21" i="1"/>
  <c r="CO31" i="1"/>
  <c r="CO35" i="1"/>
  <c r="CO55" i="1"/>
  <c r="DA43" i="1"/>
  <c r="CO68" i="1"/>
  <c r="AG25" i="1"/>
  <c r="CY92" i="1" s="1"/>
  <c r="AE51" i="1"/>
  <c r="CP45" i="1"/>
  <c r="DA41" i="1"/>
  <c r="CP43" i="1"/>
  <c r="DA40" i="1"/>
  <c r="CP42" i="1"/>
  <c r="DA42" i="1"/>
  <c r="CP58" i="1"/>
  <c r="DA53" i="1"/>
  <c r="CP54" i="1"/>
  <c r="DA52" i="1"/>
  <c r="CP56" i="1"/>
  <c r="DA54" i="1"/>
  <c r="CP53" i="1"/>
  <c r="DA51" i="1"/>
  <c r="CP65" i="1"/>
  <c r="DA65" i="1"/>
  <c r="CP64" i="1"/>
  <c r="DA63" i="1"/>
  <c r="CP68" i="1"/>
  <c r="DA62" i="1"/>
  <c r="CP67" i="1"/>
  <c r="DA64" i="1"/>
  <c r="CP31" i="1"/>
  <c r="DA30" i="1"/>
  <c r="DA29" i="1"/>
  <c r="CP36" i="1"/>
  <c r="DA32" i="1"/>
  <c r="CP34" i="1"/>
  <c r="DA31" i="1"/>
  <c r="CP23" i="1"/>
  <c r="DA18" i="1"/>
  <c r="AE25" i="1"/>
  <c r="CW92" i="1" s="1"/>
  <c r="CP21" i="1"/>
  <c r="DA21" i="1"/>
  <c r="CP24" i="1"/>
  <c r="DA20" i="1"/>
  <c r="CP20" i="1"/>
  <c r="DA19" i="1"/>
  <c r="CT65" i="1"/>
  <c r="CT42" i="1"/>
  <c r="CT20" i="1"/>
  <c r="CT7" i="1"/>
  <c r="CT32" i="1"/>
  <c r="CT63" i="1"/>
  <c r="CT43" i="1"/>
  <c r="CT18" i="1"/>
  <c r="CT29" i="1"/>
  <c r="CT8" i="1"/>
  <c r="CT10" i="1"/>
  <c r="CT54" i="1"/>
  <c r="CT19" i="1"/>
  <c r="CT64" i="1"/>
  <c r="CT41" i="1"/>
  <c r="CT21" i="1"/>
  <c r="CT52" i="1"/>
  <c r="CT53" i="1"/>
  <c r="CT30" i="1"/>
  <c r="CT51" i="1"/>
  <c r="CT31" i="1"/>
  <c r="CT9" i="1"/>
  <c r="CT62" i="1"/>
  <c r="CT40" i="1"/>
  <c r="CP9" i="1"/>
  <c r="DA8" i="1"/>
  <c r="CP12" i="1"/>
  <c r="DA10" i="1"/>
  <c r="CP10" i="1"/>
  <c r="DA9" i="1"/>
  <c r="CD43" i="1"/>
  <c r="T39" i="1" s="1"/>
  <c r="F17" i="7" s="1"/>
  <c r="BA24" i="1"/>
  <c r="CZ19" i="1"/>
  <c r="CD23" i="1"/>
  <c r="AN15" i="1" s="1"/>
  <c r="F35" i="7" s="1"/>
  <c r="CD36" i="1"/>
  <c r="BH19" i="1" s="1"/>
  <c r="F57" i="7" s="1"/>
  <c r="CD22" i="1"/>
  <c r="AN13" i="1" s="1"/>
  <c r="F27" i="7" s="1"/>
  <c r="CD57" i="1"/>
  <c r="AN45" i="1" s="1"/>
  <c r="F67" i="7" s="1"/>
  <c r="CD35" i="1"/>
  <c r="BH17" i="1" s="1"/>
  <c r="F55" i="7" s="1"/>
  <c r="CD31" i="1"/>
  <c r="BH9" i="1" s="1"/>
  <c r="F13" i="7" s="1"/>
  <c r="CD10" i="1"/>
  <c r="T11" i="1" s="1"/>
  <c r="F5" i="7" s="1"/>
  <c r="CD67" i="1"/>
  <c r="BH43" i="1" s="1"/>
  <c r="F47" i="7" s="1"/>
  <c r="AY51" i="1"/>
  <c r="CZ52" i="1"/>
  <c r="AY23" i="1"/>
  <c r="P5" i="2"/>
  <c r="CD11" i="1"/>
  <c r="T13" i="1" s="1"/>
  <c r="F29" i="7" s="1"/>
  <c r="DZ2" i="1"/>
  <c r="DZ1" i="1"/>
  <c r="BA25" i="1"/>
  <c r="CY93" i="1" s="1"/>
  <c r="BA51" i="1"/>
  <c r="AE54" i="1"/>
  <c r="AY54" i="1"/>
  <c r="AG54" i="1"/>
  <c r="AE26" i="1"/>
  <c r="O4" i="2"/>
  <c r="AG24" i="1"/>
  <c r="AE24" i="1"/>
  <c r="AG52" i="1"/>
  <c r="BA53" i="1"/>
  <c r="CY96" i="1" s="1"/>
  <c r="CZ20" i="1"/>
  <c r="BA23" i="1"/>
  <c r="BA26" i="1"/>
  <c r="M5" i="2"/>
  <c r="BA54" i="1"/>
  <c r="AY24" i="1"/>
  <c r="CX84" i="1"/>
  <c r="CX80" i="1"/>
  <c r="CX83" i="1"/>
  <c r="CX79" i="1"/>
  <c r="P3" i="2"/>
  <c r="CY83" i="1"/>
  <c r="M3" i="2"/>
  <c r="AY26" i="1"/>
  <c r="AY25" i="1"/>
  <c r="CW93" i="1" s="1"/>
  <c r="AY53" i="1"/>
  <c r="CW96" i="1" s="1"/>
  <c r="N4" i="2"/>
  <c r="CD47" i="1"/>
  <c r="T47" i="1" s="1"/>
  <c r="F65" i="7" s="1"/>
  <c r="CO24" i="1"/>
  <c r="CZ18" i="1"/>
  <c r="CZ21" i="1"/>
  <c r="N3" i="2"/>
  <c r="M4" i="2"/>
  <c r="O3" i="2"/>
  <c r="CZ29" i="1"/>
  <c r="CZ31" i="1"/>
  <c r="CZ32" i="1"/>
  <c r="CZ62" i="1"/>
  <c r="CZ65" i="1"/>
  <c r="CZ63" i="1"/>
  <c r="AE52" i="1"/>
  <c r="CP55" i="1"/>
  <c r="CZ54" i="1"/>
  <c r="AG51" i="1"/>
  <c r="CZ53" i="1"/>
  <c r="CZ40" i="1"/>
  <c r="CZ41" i="1"/>
  <c r="CZ42" i="1"/>
  <c r="CZ43" i="1"/>
  <c r="CO56" i="1"/>
  <c r="CZ51" i="1"/>
  <c r="CD53" i="1"/>
  <c r="AN37" i="1" s="1"/>
  <c r="F19" i="7" s="1"/>
  <c r="O5" i="2"/>
  <c r="AG53" i="1"/>
  <c r="CY95" i="1" s="1"/>
  <c r="CZ64" i="1"/>
  <c r="N5" i="2"/>
  <c r="CD64" i="1"/>
  <c r="BH37" i="1" s="1"/>
  <c r="F23" i="7" s="1"/>
  <c r="CO66" i="1"/>
  <c r="CD32" i="1"/>
  <c r="BH11" i="1" s="1"/>
  <c r="F15" i="7" s="1"/>
  <c r="CP32" i="1"/>
  <c r="CZ30" i="1"/>
  <c r="AE23" i="1"/>
  <c r="P4" i="2"/>
  <c r="CO25" i="1"/>
  <c r="CD21" i="1"/>
  <c r="AN11" i="1" s="1"/>
  <c r="F9" i="7" s="1"/>
  <c r="AG26" i="1"/>
  <c r="CP13" i="1"/>
  <c r="CD12" i="1"/>
  <c r="T15" i="1" s="1"/>
  <c r="F31" i="7" s="1"/>
  <c r="CZ10" i="1"/>
  <c r="M23" i="1"/>
  <c r="CZ8" i="1"/>
  <c r="CZ9" i="1"/>
  <c r="K24" i="1"/>
  <c r="CH101" i="1"/>
  <c r="CD101" i="1" s="1"/>
  <c r="T110" i="1" s="1"/>
  <c r="F103" i="7" s="1"/>
  <c r="CH76" i="1"/>
  <c r="CD76" i="1" s="1"/>
  <c r="T62" i="1" s="1"/>
  <c r="F77" i="7" s="1"/>
  <c r="CH75" i="1"/>
  <c r="DZ33" i="1"/>
  <c r="DZ49" i="1"/>
  <c r="DZ41" i="1"/>
  <c r="DZ25" i="1"/>
  <c r="DZ17" i="1"/>
  <c r="DZ9" i="1"/>
  <c r="DZ48" i="1"/>
  <c r="DZ40" i="1"/>
  <c r="DZ32" i="1"/>
  <c r="DZ24" i="1"/>
  <c r="DZ16" i="1"/>
  <c r="DZ8" i="1"/>
  <c r="DZ47" i="1"/>
  <c r="DZ39" i="1"/>
  <c r="DZ31" i="1"/>
  <c r="DZ23" i="1"/>
  <c r="DZ15" i="1"/>
  <c r="DZ7" i="1"/>
  <c r="DZ46" i="1"/>
  <c r="DZ38" i="1"/>
  <c r="DZ30" i="1"/>
  <c r="DZ22" i="1"/>
  <c r="DZ14" i="1"/>
  <c r="DZ6" i="1"/>
  <c r="DZ45" i="1"/>
  <c r="DZ37" i="1"/>
  <c r="DZ29" i="1"/>
  <c r="DZ21" i="1"/>
  <c r="DZ13" i="1"/>
  <c r="DZ5" i="1"/>
  <c r="DZ44" i="1"/>
  <c r="DZ28" i="1"/>
  <c r="DZ20" i="1"/>
  <c r="DZ4" i="1"/>
  <c r="DZ51" i="1"/>
  <c r="DZ43" i="1"/>
  <c r="DZ35" i="1"/>
  <c r="DZ27" i="1"/>
  <c r="DZ19" i="1"/>
  <c r="DZ11" i="1"/>
  <c r="DZ3" i="1"/>
  <c r="DZ36" i="1"/>
  <c r="DZ12" i="1"/>
  <c r="DZ50" i="1"/>
  <c r="DZ42" i="1"/>
  <c r="DZ34" i="1"/>
  <c r="DZ26" i="1"/>
  <c r="DZ18" i="1"/>
  <c r="DZ10" i="1"/>
  <c r="AI23" i="1" l="1"/>
  <c r="BC52" i="1"/>
  <c r="CD13" i="1"/>
  <c r="T17" i="1" s="1"/>
  <c r="F51" i="7" s="1"/>
  <c r="AI51" i="1"/>
  <c r="DC43" i="1"/>
  <c r="AI53" i="1"/>
  <c r="DC54" i="1"/>
  <c r="DC40" i="1"/>
  <c r="DC29" i="1"/>
  <c r="CU42" i="1"/>
  <c r="CU9" i="1"/>
  <c r="CW40" i="1"/>
  <c r="DC64" i="1"/>
  <c r="DC51" i="1"/>
  <c r="CU53" i="1"/>
  <c r="AI54" i="1"/>
  <c r="CV41" i="1"/>
  <c r="DC52" i="1"/>
  <c r="DC53" i="1"/>
  <c r="DC62" i="1"/>
  <c r="DC63" i="1"/>
  <c r="DC65" i="1"/>
  <c r="DC7" i="1"/>
  <c r="CU8" i="1"/>
  <c r="CU10" i="1"/>
  <c r="CV43" i="1"/>
  <c r="CU29" i="1"/>
  <c r="CV54" i="1"/>
  <c r="DC32" i="1"/>
  <c r="CV52" i="1"/>
  <c r="CW32" i="1"/>
  <c r="CV63" i="1"/>
  <c r="CV64" i="1"/>
  <c r="CW7" i="1"/>
  <c r="CW41" i="1"/>
  <c r="CW20" i="1"/>
  <c r="CW30" i="1"/>
  <c r="CV19" i="1"/>
  <c r="CU21" i="1"/>
  <c r="CV51" i="1"/>
  <c r="CV32" i="1"/>
  <c r="CU54" i="1"/>
  <c r="CU30" i="1"/>
  <c r="CU64" i="1"/>
  <c r="CW64" i="1"/>
  <c r="CW51" i="1"/>
  <c r="AI25" i="1"/>
  <c r="CW18" i="1"/>
  <c r="CW42" i="1"/>
  <c r="CU41" i="1"/>
  <c r="CU20" i="1"/>
  <c r="CV21" i="1"/>
  <c r="CV62" i="1"/>
  <c r="CW54" i="1"/>
  <c r="CV20" i="1"/>
  <c r="CV9" i="1"/>
  <c r="CV18" i="1"/>
  <c r="CU65" i="1"/>
  <c r="CV10" i="1"/>
  <c r="CU31" i="1"/>
  <c r="CV42" i="1"/>
  <c r="CU18" i="1"/>
  <c r="CW31" i="1"/>
  <c r="DC18" i="1"/>
  <c r="CW62" i="1"/>
  <c r="CW19" i="1"/>
  <c r="CW53" i="1"/>
  <c r="CU43" i="1"/>
  <c r="DC19" i="1"/>
  <c r="CW9" i="1"/>
  <c r="CU62" i="1"/>
  <c r="CW10" i="1"/>
  <c r="CW8" i="1"/>
  <c r="CV40" i="1"/>
  <c r="CU7" i="1"/>
  <c r="CW29" i="1"/>
  <c r="CU63" i="1"/>
  <c r="CU19" i="1"/>
  <c r="CU32" i="1"/>
  <c r="CU52" i="1"/>
  <c r="CV65" i="1"/>
  <c r="CU51" i="1"/>
  <c r="CV30" i="1"/>
  <c r="CV29" i="1"/>
  <c r="CW21" i="1"/>
  <c r="CW43" i="1"/>
  <c r="CU40" i="1"/>
  <c r="CV7" i="1"/>
  <c r="CW65" i="1"/>
  <c r="CV8" i="1"/>
  <c r="CW52" i="1"/>
  <c r="CV53" i="1"/>
  <c r="CV31" i="1"/>
  <c r="CW63" i="1"/>
  <c r="AI24" i="1"/>
  <c r="O26" i="1"/>
  <c r="O24" i="1"/>
  <c r="O25" i="1"/>
  <c r="O23" i="1"/>
  <c r="CD9" i="1"/>
  <c r="T9" i="1" s="1"/>
  <c r="F3" i="7" s="1"/>
  <c r="BC53" i="1"/>
  <c r="O51" i="1"/>
  <c r="BC26" i="1"/>
  <c r="BC51" i="1"/>
  <c r="O54" i="1"/>
  <c r="AI26" i="1"/>
  <c r="O52" i="1"/>
  <c r="BC54" i="1"/>
  <c r="BC25" i="1"/>
  <c r="BC23" i="1"/>
  <c r="AI52" i="1"/>
  <c r="O53" i="1"/>
  <c r="BC24" i="1"/>
  <c r="CH77" i="1"/>
  <c r="CD77" i="1" s="1"/>
  <c r="T65" i="1" s="1"/>
  <c r="F79" i="7" s="1"/>
  <c r="CD75" i="1"/>
  <c r="T59" i="1" l="1"/>
  <c r="F75" i="7" s="1"/>
  <c r="D118" i="1"/>
  <c r="O120" i="1" l="1"/>
  <c r="O119" i="1"/>
  <c r="O118" i="1"/>
  <c r="Q23" i="1" l="1"/>
  <c r="H26" i="1"/>
  <c r="DC8" i="1"/>
  <c r="Z23" i="1"/>
  <c r="AB23" i="1"/>
  <c r="Z24" i="1"/>
  <c r="AA24" i="1"/>
  <c r="AB24" i="1"/>
  <c r="AK24" i="1"/>
  <c r="Z25" i="1"/>
  <c r="AA25" i="1"/>
  <c r="AB25" i="1"/>
  <c r="AK25" i="1"/>
  <c r="CV92" i="1" s="1"/>
  <c r="CZ92" i="1" s="1"/>
  <c r="Z26" i="1"/>
  <c r="AA26" i="1"/>
  <c r="AB26" i="1"/>
  <c r="F23" i="1"/>
  <c r="G23" i="1"/>
  <c r="H23" i="1"/>
  <c r="AA23" i="1"/>
  <c r="F24" i="1"/>
  <c r="G24" i="1"/>
  <c r="H24" i="1"/>
  <c r="Q24" i="1"/>
  <c r="F25" i="1"/>
  <c r="G25" i="1"/>
  <c r="H25" i="1"/>
  <c r="Q25" i="1"/>
  <c r="CV91" i="1" s="1"/>
  <c r="CZ91" i="1" s="1"/>
  <c r="F26" i="1"/>
  <c r="G26" i="1"/>
  <c r="Q26" i="1"/>
  <c r="AT23" i="1"/>
  <c r="AU23" i="1"/>
  <c r="AV23" i="1"/>
  <c r="AT24" i="1"/>
  <c r="AU24" i="1"/>
  <c r="AV24" i="1"/>
  <c r="AT25" i="1"/>
  <c r="AU25" i="1"/>
  <c r="AV25" i="1"/>
  <c r="AT26" i="1"/>
  <c r="AU26" i="1"/>
  <c r="AV26" i="1"/>
  <c r="F51" i="1"/>
  <c r="F52" i="1"/>
  <c r="H52" i="1"/>
  <c r="F53" i="1"/>
  <c r="G53" i="1"/>
  <c r="H53" i="1"/>
  <c r="G54" i="1"/>
  <c r="Q54" i="1"/>
  <c r="G51" i="1"/>
  <c r="H51" i="1"/>
  <c r="Z51" i="1"/>
  <c r="AA51" i="1"/>
  <c r="AB51" i="1"/>
  <c r="G52" i="1"/>
  <c r="Q52" i="1"/>
  <c r="Z52" i="1"/>
  <c r="AA52" i="1"/>
  <c r="AB52" i="1"/>
  <c r="Z53" i="1"/>
  <c r="AA53" i="1"/>
  <c r="AB53" i="1"/>
  <c r="AK53" i="1"/>
  <c r="CV95" i="1" s="1"/>
  <c r="CZ95" i="1" s="1"/>
  <c r="F54" i="1"/>
  <c r="H54" i="1"/>
  <c r="Z54" i="1"/>
  <c r="AA54" i="1"/>
  <c r="AB54" i="1"/>
  <c r="AT51" i="1"/>
  <c r="AU51" i="1"/>
  <c r="AV51" i="1"/>
  <c r="BE51" i="1"/>
  <c r="AT52" i="1"/>
  <c r="AU52" i="1"/>
  <c r="AV52" i="1"/>
  <c r="BE52" i="1"/>
  <c r="AT53" i="1"/>
  <c r="AU53" i="1"/>
  <c r="AV53" i="1"/>
  <c r="AT54" i="1"/>
  <c r="AU54" i="1"/>
  <c r="AV54" i="1"/>
  <c r="BE54" i="1"/>
  <c r="DM53" i="1" l="1"/>
  <c r="DQ53" i="1" s="1"/>
  <c r="DC42" i="1"/>
  <c r="DM42" i="1" s="1"/>
  <c r="DQ42" i="1" s="1"/>
  <c r="DC30" i="1"/>
  <c r="DM29" i="1" s="1"/>
  <c r="DQ29" i="1" s="1"/>
  <c r="DC20" i="1"/>
  <c r="DK52" i="1"/>
  <c r="DO52" i="1" s="1"/>
  <c r="AE59" i="1"/>
  <c r="DC10" i="1"/>
  <c r="Q51" i="1"/>
  <c r="Q53" i="1"/>
  <c r="CV94" i="1" s="1"/>
  <c r="CZ94" i="1" s="1"/>
  <c r="DC9" i="1"/>
  <c r="DK7" i="1"/>
  <c r="AE60" i="1"/>
  <c r="BE25" i="1"/>
  <c r="CV93" i="1" s="1"/>
  <c r="CZ93" i="1" s="1"/>
  <c r="BE23" i="1"/>
  <c r="AK26" i="1"/>
  <c r="AK23" i="1"/>
  <c r="AE62" i="1"/>
  <c r="AE63" i="1"/>
  <c r="AK51" i="1"/>
  <c r="BE53" i="1"/>
  <c r="CV96" i="1" s="1"/>
  <c r="CZ96" i="1" s="1"/>
  <c r="DK9" i="1"/>
  <c r="AK54" i="1"/>
  <c r="AE61" i="1"/>
  <c r="BE24" i="1"/>
  <c r="DC31" i="1"/>
  <c r="AE58" i="1"/>
  <c r="AK52" i="1"/>
  <c r="DC41" i="1"/>
  <c r="DC21" i="1"/>
  <c r="DM20" i="1" s="1"/>
  <c r="DQ20" i="1" s="1"/>
  <c r="BE26" i="1"/>
  <c r="DK19" i="1" l="1"/>
  <c r="DO19" i="1" s="1"/>
  <c r="DM44" i="1"/>
  <c r="DQ44" i="1" s="1"/>
  <c r="DK11" i="1"/>
  <c r="DO11" i="1" s="1"/>
  <c r="E59" i="1"/>
  <c r="AE68" i="1" s="1"/>
  <c r="CR17" i="1" s="1"/>
  <c r="C68" i="1"/>
  <c r="C95" i="1" s="1"/>
  <c r="E104" i="1" s="1"/>
  <c r="C74" i="1"/>
  <c r="E89" i="1" s="1"/>
  <c r="C80" i="1"/>
  <c r="E92" i="1" s="1"/>
  <c r="C59" i="1"/>
  <c r="E86" i="1" s="1"/>
  <c r="C62" i="1"/>
  <c r="E95" i="1" s="1"/>
  <c r="C71" i="1"/>
  <c r="C89" i="1" s="1"/>
  <c r="E101" i="1" s="1"/>
  <c r="E80" i="1"/>
  <c r="C65" i="1"/>
  <c r="C86" i="1" s="1"/>
  <c r="C101" i="1" s="1"/>
  <c r="C110" i="1" s="1"/>
  <c r="E62" i="1"/>
  <c r="C77" i="1"/>
  <c r="C92" i="1" s="1"/>
  <c r="C104" i="1" s="1"/>
  <c r="E74" i="1"/>
  <c r="DK12" i="1"/>
  <c r="DO12" i="1" s="1"/>
  <c r="DM7" i="1"/>
  <c r="DQ7" i="1" s="1"/>
  <c r="CR9" i="1"/>
  <c r="CR8" i="1"/>
  <c r="DK42" i="1"/>
  <c r="DO42" i="1" s="1"/>
  <c r="DM10" i="1"/>
  <c r="DQ10" i="1" s="1"/>
  <c r="DB95" i="1"/>
  <c r="DB96" i="1"/>
  <c r="DM40" i="1"/>
  <c r="DQ40" i="1" s="1"/>
  <c r="DK45" i="1"/>
  <c r="DO45" i="1" s="1"/>
  <c r="DM11" i="1"/>
  <c r="DQ11" i="1" s="1"/>
  <c r="DK56" i="1"/>
  <c r="DO56" i="1" s="1"/>
  <c r="DM51" i="1"/>
  <c r="DQ51" i="1" s="1"/>
  <c r="DK8" i="1"/>
  <c r="DO8" i="1" s="1"/>
  <c r="DM41" i="1"/>
  <c r="DQ41" i="1" s="1"/>
  <c r="DK44" i="1"/>
  <c r="DO44" i="1" s="1"/>
  <c r="DK34" i="1"/>
  <c r="DO34" i="1" s="1"/>
  <c r="DK41" i="1"/>
  <c r="DO41" i="1" s="1"/>
  <c r="DK43" i="1"/>
  <c r="DO43" i="1" s="1"/>
  <c r="DM18" i="1"/>
  <c r="DQ18" i="1" s="1"/>
  <c r="DM31" i="1"/>
  <c r="DQ31" i="1" s="1"/>
  <c r="DK22" i="1"/>
  <c r="DM8" i="1"/>
  <c r="DQ8" i="1" s="1"/>
  <c r="DM22" i="1"/>
  <c r="DQ22" i="1" s="1"/>
  <c r="DK21" i="1"/>
  <c r="DO21" i="1" s="1"/>
  <c r="DM56" i="1"/>
  <c r="DQ56" i="1" s="1"/>
  <c r="DM12" i="1"/>
  <c r="DQ12" i="1" s="1"/>
  <c r="DK54" i="1"/>
  <c r="DO54" i="1" s="1"/>
  <c r="DK10" i="1"/>
  <c r="CR11" i="1"/>
  <c r="DK18" i="1"/>
  <c r="DM21" i="1"/>
  <c r="DM23" i="1"/>
  <c r="DQ23" i="1" s="1"/>
  <c r="DM9" i="1"/>
  <c r="DQ9" i="1" s="1"/>
  <c r="DM64" i="1"/>
  <c r="DQ64" i="1" s="1"/>
  <c r="DM62" i="1"/>
  <c r="DQ62" i="1" s="1"/>
  <c r="DK66" i="1"/>
  <c r="DK63" i="1"/>
  <c r="DO63" i="1" s="1"/>
  <c r="DK65" i="1"/>
  <c r="DO65" i="1" s="1"/>
  <c r="DM66" i="1"/>
  <c r="DQ66" i="1" s="1"/>
  <c r="DK31" i="1"/>
  <c r="DM30" i="1"/>
  <c r="DQ30" i="1" s="1"/>
  <c r="DK33" i="1"/>
  <c r="CR10" i="1"/>
  <c r="DK51" i="1"/>
  <c r="DM55" i="1"/>
  <c r="DQ55" i="1" s="1"/>
  <c r="DM54" i="1"/>
  <c r="DQ54" i="1" s="1"/>
  <c r="DO7" i="1"/>
  <c r="DK40" i="1"/>
  <c r="DM43" i="1"/>
  <c r="DM45" i="1"/>
  <c r="DM63" i="1"/>
  <c r="DK64" i="1"/>
  <c r="DK67" i="1"/>
  <c r="DK20" i="1"/>
  <c r="DM19" i="1"/>
  <c r="DK23" i="1"/>
  <c r="DB92" i="1"/>
  <c r="DB91" i="1"/>
  <c r="CR12" i="1"/>
  <c r="DB94" i="1"/>
  <c r="DM67" i="1"/>
  <c r="DQ67" i="1" s="1"/>
  <c r="DK62" i="1"/>
  <c r="DM65" i="1"/>
  <c r="DK53" i="1"/>
  <c r="DM52" i="1"/>
  <c r="DK55" i="1"/>
  <c r="DK29" i="1"/>
  <c r="DM33" i="1"/>
  <c r="DQ33" i="1" s="1"/>
  <c r="DM32" i="1"/>
  <c r="DQ32" i="1" s="1"/>
  <c r="DK30" i="1"/>
  <c r="DK32" i="1"/>
  <c r="DM34" i="1"/>
  <c r="DQ34" i="1" s="1"/>
  <c r="CR7" i="1"/>
  <c r="DO9" i="1"/>
  <c r="DB93" i="1"/>
  <c r="AE73" i="1" l="1"/>
  <c r="CR22" i="1" s="1"/>
  <c r="C2" i="2"/>
  <c r="AE97" i="1"/>
  <c r="CR48" i="1" s="1"/>
  <c r="AE81" i="1"/>
  <c r="CR30" i="1" s="1"/>
  <c r="E110" i="1"/>
  <c r="DN7" i="1"/>
  <c r="DP7" i="1" s="1"/>
  <c r="AE77" i="1"/>
  <c r="CR26" i="1" s="1"/>
  <c r="AE79" i="1"/>
  <c r="CR28" i="1" s="1"/>
  <c r="AE93" i="1"/>
  <c r="CR43" i="1" s="1"/>
  <c r="AE67" i="1"/>
  <c r="CR16" i="1" s="1"/>
  <c r="AE91" i="1"/>
  <c r="CR41" i="1" s="1"/>
  <c r="AE109" i="1"/>
  <c r="CR62" i="1" s="1"/>
  <c r="AG110" i="1" s="1"/>
  <c r="X110" i="1" s="1"/>
  <c r="E2" i="2"/>
  <c r="DN42" i="1"/>
  <c r="DR42" i="1" s="1"/>
  <c r="AE75" i="1"/>
  <c r="CR24" i="1" s="1"/>
  <c r="AE69" i="1"/>
  <c r="CR18" i="1" s="1"/>
  <c r="AE100" i="1"/>
  <c r="CR51" i="1" s="1"/>
  <c r="C5" i="2"/>
  <c r="AE104" i="1"/>
  <c r="CR56" i="1" s="1"/>
  <c r="D2" i="2"/>
  <c r="AE87" i="1"/>
  <c r="CR37" i="1" s="1"/>
  <c r="B3" i="2"/>
  <c r="AE71" i="1"/>
  <c r="CR20" i="1" s="1"/>
  <c r="AE90" i="1"/>
  <c r="CR40" i="1" s="1"/>
  <c r="B6" i="2"/>
  <c r="AE88" i="1"/>
  <c r="CR38" i="1" s="1"/>
  <c r="B4" i="2"/>
  <c r="AE89" i="1"/>
  <c r="CR39" i="1" s="1"/>
  <c r="B5" i="2"/>
  <c r="DN10" i="1"/>
  <c r="DT10" i="1" s="1"/>
  <c r="DN11" i="1"/>
  <c r="DS11" i="1" s="1"/>
  <c r="DN44" i="1"/>
  <c r="DP44" i="1" s="1"/>
  <c r="DN9" i="1"/>
  <c r="DS9" i="1" s="1"/>
  <c r="DN22" i="1"/>
  <c r="DT22" i="1" s="1"/>
  <c r="DN56" i="1"/>
  <c r="DR56" i="1" s="1"/>
  <c r="DN41" i="1"/>
  <c r="DR41" i="1" s="1"/>
  <c r="DN8" i="1"/>
  <c r="DR8" i="1" s="1"/>
  <c r="DO10" i="1"/>
  <c r="DO22" i="1"/>
  <c r="DN12" i="1"/>
  <c r="DR12" i="1" s="1"/>
  <c r="DQ21" i="1"/>
  <c r="DN21" i="1"/>
  <c r="DO18" i="1"/>
  <c r="DN18" i="1"/>
  <c r="DO66" i="1"/>
  <c r="DN66" i="1"/>
  <c r="DN62" i="1"/>
  <c r="DO62" i="1"/>
  <c r="DQ45" i="1"/>
  <c r="DN45" i="1"/>
  <c r="DN32" i="1"/>
  <c r="DO32" i="1"/>
  <c r="DQ52" i="1"/>
  <c r="DN52" i="1"/>
  <c r="DQ19" i="1"/>
  <c r="DN19" i="1"/>
  <c r="DQ43" i="1"/>
  <c r="DN43" i="1"/>
  <c r="CU103" i="1"/>
  <c r="CU102" i="1"/>
  <c r="CU105" i="1"/>
  <c r="CU104" i="1"/>
  <c r="CU101" i="1"/>
  <c r="CU106" i="1"/>
  <c r="DO33" i="1"/>
  <c r="DN33" i="1"/>
  <c r="DN29" i="1"/>
  <c r="DO29" i="1"/>
  <c r="DN54" i="1"/>
  <c r="DN67" i="1"/>
  <c r="DO67" i="1"/>
  <c r="DN34" i="1"/>
  <c r="DN20" i="1"/>
  <c r="DO20" i="1"/>
  <c r="AG64" i="1"/>
  <c r="X64" i="1" s="1"/>
  <c r="DO64" i="1"/>
  <c r="DN64" i="1"/>
  <c r="DN31" i="1"/>
  <c r="DO31" i="1"/>
  <c r="DN55" i="1"/>
  <c r="DO55" i="1"/>
  <c r="DN23" i="1"/>
  <c r="DO23" i="1"/>
  <c r="DO30" i="1"/>
  <c r="DN30" i="1"/>
  <c r="DN53" i="1"/>
  <c r="DO53" i="1"/>
  <c r="DN40" i="1"/>
  <c r="DO40" i="1"/>
  <c r="DO51" i="1"/>
  <c r="DN51" i="1"/>
  <c r="DQ65" i="1"/>
  <c r="DN65" i="1"/>
  <c r="DQ63" i="1"/>
  <c r="DN63" i="1"/>
  <c r="DP42" i="1" l="1"/>
  <c r="B7" i="2"/>
  <c r="DT7" i="1"/>
  <c r="B9" i="2"/>
  <c r="B8" i="2"/>
  <c r="DS42" i="1"/>
  <c r="AE99" i="1"/>
  <c r="CR50" i="1" s="1"/>
  <c r="DS7" i="1"/>
  <c r="DR7" i="1"/>
  <c r="B2" i="2"/>
  <c r="AE86" i="1"/>
  <c r="CR36" i="1" s="1"/>
  <c r="AE92" i="1"/>
  <c r="CR42" i="1" s="1"/>
  <c r="C4" i="2"/>
  <c r="DT42" i="1"/>
  <c r="DR10" i="1"/>
  <c r="DS10" i="1"/>
  <c r="DP10" i="1"/>
  <c r="D3" i="2"/>
  <c r="AE105" i="1"/>
  <c r="CR57" i="1" s="1"/>
  <c r="AG106" i="1" s="1"/>
  <c r="X106" i="1" s="1"/>
  <c r="DR11" i="1"/>
  <c r="DT11" i="1"/>
  <c r="DT44" i="1"/>
  <c r="DP11" i="1"/>
  <c r="DR9" i="1"/>
  <c r="DT9" i="1"/>
  <c r="DR44" i="1"/>
  <c r="DS44" i="1"/>
  <c r="DR22" i="1"/>
  <c r="DP9" i="1"/>
  <c r="DP22" i="1"/>
  <c r="DT41" i="1"/>
  <c r="DP12" i="1"/>
  <c r="DS22" i="1"/>
  <c r="DS41" i="1"/>
  <c r="DS8" i="1"/>
  <c r="DP41" i="1"/>
  <c r="DS12" i="1"/>
  <c r="DT8" i="1"/>
  <c r="DP8" i="1"/>
  <c r="DT56" i="1"/>
  <c r="DS56" i="1"/>
  <c r="DT12" i="1"/>
  <c r="DP56" i="1"/>
  <c r="DS66" i="1"/>
  <c r="DR66" i="1"/>
  <c r="DT66" i="1"/>
  <c r="DP66" i="1"/>
  <c r="DS18" i="1"/>
  <c r="DP18" i="1"/>
  <c r="DT18" i="1"/>
  <c r="DR18" i="1"/>
  <c r="DR21" i="1"/>
  <c r="DS21" i="1"/>
  <c r="DT21" i="1"/>
  <c r="DP21" i="1"/>
  <c r="DP64" i="1"/>
  <c r="DR64" i="1"/>
  <c r="DS64" i="1"/>
  <c r="DT64" i="1"/>
  <c r="DR52" i="1"/>
  <c r="DS52" i="1"/>
  <c r="DP52" i="1"/>
  <c r="DT52" i="1"/>
  <c r="CX106" i="1"/>
  <c r="DA106" i="1"/>
  <c r="CV106" i="1"/>
  <c r="CY106" i="1"/>
  <c r="CY101" i="1"/>
  <c r="DB101" i="1"/>
  <c r="DC101" i="1" s="1"/>
  <c r="CV101" i="1"/>
  <c r="CX101" i="1"/>
  <c r="DA101" i="1"/>
  <c r="DP32" i="1"/>
  <c r="DR32" i="1"/>
  <c r="DS32" i="1"/>
  <c r="DT32" i="1"/>
  <c r="DP30" i="1"/>
  <c r="DR30" i="1"/>
  <c r="DS30" i="1"/>
  <c r="DT30" i="1"/>
  <c r="DP67" i="1"/>
  <c r="DS67" i="1"/>
  <c r="DR67" i="1"/>
  <c r="DT67" i="1"/>
  <c r="CV104" i="1"/>
  <c r="DB104" i="1"/>
  <c r="DC104" i="1" s="1"/>
  <c r="CY104" i="1"/>
  <c r="CX104" i="1"/>
  <c r="DA104" i="1"/>
  <c r="DR43" i="1"/>
  <c r="DS43" i="1"/>
  <c r="DP43" i="1"/>
  <c r="DT43" i="1"/>
  <c r="DP45" i="1"/>
  <c r="DS45" i="1"/>
  <c r="DT45" i="1"/>
  <c r="DR45" i="1"/>
  <c r="DP33" i="1"/>
  <c r="DR33" i="1"/>
  <c r="DT33" i="1"/>
  <c r="DS33" i="1"/>
  <c r="DS55" i="1"/>
  <c r="DP55" i="1"/>
  <c r="DT55" i="1"/>
  <c r="DR55" i="1"/>
  <c r="DS31" i="1"/>
  <c r="DT31" i="1"/>
  <c r="DR31" i="1"/>
  <c r="DP31" i="1"/>
  <c r="DT20" i="1"/>
  <c r="DR20" i="1"/>
  <c r="DP20" i="1"/>
  <c r="DS20" i="1"/>
  <c r="DT54" i="1"/>
  <c r="DR54" i="1"/>
  <c r="DS54" i="1"/>
  <c r="DP54" i="1"/>
  <c r="CX105" i="1"/>
  <c r="CV105" i="1"/>
  <c r="DA105" i="1"/>
  <c r="CY105" i="1"/>
  <c r="DR63" i="1"/>
  <c r="DS63" i="1"/>
  <c r="DT63" i="1"/>
  <c r="DP63" i="1"/>
  <c r="DP34" i="1"/>
  <c r="DT34" i="1"/>
  <c r="DR34" i="1"/>
  <c r="DS34" i="1"/>
  <c r="DA102" i="1"/>
  <c r="CV102" i="1"/>
  <c r="CX102" i="1"/>
  <c r="CY102" i="1"/>
  <c r="DB102" i="1"/>
  <c r="DC102" i="1" s="1"/>
  <c r="DP19" i="1"/>
  <c r="DR19" i="1"/>
  <c r="DS19" i="1"/>
  <c r="DT19" i="1"/>
  <c r="DP65" i="1"/>
  <c r="DS65" i="1"/>
  <c r="DR65" i="1"/>
  <c r="DT65" i="1"/>
  <c r="DS40" i="1"/>
  <c r="DT40" i="1"/>
  <c r="DR40" i="1"/>
  <c r="DP40" i="1"/>
  <c r="DS53" i="1"/>
  <c r="DT53" i="1"/>
  <c r="DR53" i="1"/>
  <c r="DP53" i="1"/>
  <c r="DR51" i="1"/>
  <c r="DT51" i="1"/>
  <c r="DP51" i="1"/>
  <c r="DS51" i="1"/>
  <c r="DP23" i="1"/>
  <c r="DR23" i="1"/>
  <c r="DS23" i="1"/>
  <c r="DT23" i="1"/>
  <c r="DS29" i="1"/>
  <c r="DT29" i="1"/>
  <c r="DP29" i="1"/>
  <c r="DR29" i="1"/>
  <c r="DB103" i="1"/>
  <c r="DC103" i="1" s="1"/>
  <c r="CY103" i="1"/>
  <c r="CX103" i="1"/>
  <c r="DA103" i="1"/>
  <c r="CV103" i="1"/>
  <c r="DT62" i="1"/>
  <c r="DR62" i="1"/>
  <c r="DS62" i="1"/>
  <c r="DP62" i="1"/>
  <c r="DD62" i="1" l="1"/>
  <c r="DD40" i="1"/>
  <c r="DF8" i="1"/>
  <c r="DG7" i="1"/>
  <c r="AG94" i="1"/>
  <c r="X94" i="1" s="1"/>
  <c r="DF7" i="1"/>
  <c r="AE98" i="1"/>
  <c r="CR49" i="1" s="1"/>
  <c r="AG101" i="1" s="1"/>
  <c r="X101" i="1" s="1"/>
  <c r="C3" i="2"/>
  <c r="DD8" i="1"/>
  <c r="DG40" i="1"/>
  <c r="DG9" i="1"/>
  <c r="DG19" i="1"/>
  <c r="DD9" i="1"/>
  <c r="DD7" i="1"/>
  <c r="DD18" i="1"/>
  <c r="DD10" i="1"/>
  <c r="DD42" i="1"/>
  <c r="DG20" i="1"/>
  <c r="DF20" i="1"/>
  <c r="DG8" i="1"/>
  <c r="DG64" i="1"/>
  <c r="DD19" i="1"/>
  <c r="DF19" i="1"/>
  <c r="DG41" i="1"/>
  <c r="DG32" i="1"/>
  <c r="DD32" i="1"/>
  <c r="DG62" i="1"/>
  <c r="DF52" i="1"/>
  <c r="DG54" i="1"/>
  <c r="DF63" i="1"/>
  <c r="DG42" i="1"/>
  <c r="DD64" i="1"/>
  <c r="DG65" i="1"/>
  <c r="DF64" i="1"/>
  <c r="DF54" i="1"/>
  <c r="DD65" i="1"/>
  <c r="DF65" i="1"/>
  <c r="DG43" i="1"/>
  <c r="DF62" i="1"/>
  <c r="DD51" i="1"/>
  <c r="DD54" i="1"/>
  <c r="DD63" i="1"/>
  <c r="DF51" i="1"/>
  <c r="DD53" i="1"/>
  <c r="DG63" i="1"/>
  <c r="DG29" i="1"/>
  <c r="DF30" i="1"/>
  <c r="DF21" i="1"/>
  <c r="DD43" i="1"/>
  <c r="DG52" i="1"/>
  <c r="DF42" i="1"/>
  <c r="DF41" i="1"/>
  <c r="DG30" i="1"/>
  <c r="DF40" i="1"/>
  <c r="DF32" i="1"/>
  <c r="DG53" i="1"/>
  <c r="DF43" i="1"/>
  <c r="DG18" i="1"/>
  <c r="DG31" i="1"/>
  <c r="DF31" i="1"/>
  <c r="DD52" i="1"/>
  <c r="DG21" i="1"/>
  <c r="DD29" i="1"/>
  <c r="DF29" i="1"/>
  <c r="DF53" i="1"/>
  <c r="DG51" i="1"/>
  <c r="DF18" i="1"/>
  <c r="DF9" i="1"/>
  <c r="DD31" i="1"/>
  <c r="DD21" i="1"/>
  <c r="DG10" i="1"/>
  <c r="DF10" i="1"/>
  <c r="DD41" i="1"/>
  <c r="DD20" i="1"/>
  <c r="DD30" i="1"/>
  <c r="DC108" i="1"/>
  <c r="DE8" i="1" l="1"/>
  <c r="DE40" i="1"/>
  <c r="DE7" i="1"/>
  <c r="DE19" i="1"/>
  <c r="DE9" i="1"/>
  <c r="DE62" i="1"/>
  <c r="DE20" i="1"/>
  <c r="DE64" i="1"/>
  <c r="DE51" i="1"/>
  <c r="DE54" i="1"/>
  <c r="DE18" i="1"/>
  <c r="DE41" i="1"/>
  <c r="DE30" i="1"/>
  <c r="DE52" i="1"/>
  <c r="DE32" i="1"/>
  <c r="DE42" i="1"/>
  <c r="DE29" i="1"/>
  <c r="DE21" i="1"/>
  <c r="DE65" i="1"/>
  <c r="DE31" i="1"/>
  <c r="DE63" i="1"/>
  <c r="DE53" i="1"/>
  <c r="DE43" i="1"/>
  <c r="DE10" i="1"/>
  <c r="CV113" i="1"/>
  <c r="E71" i="1" s="1"/>
  <c r="CV111" i="1"/>
  <c r="E65" i="1" s="1"/>
  <c r="CV112" i="1"/>
  <c r="E68" i="1" s="1"/>
  <c r="CV114" i="1"/>
  <c r="E77" i="1" s="1"/>
  <c r="AE80" i="1" s="1"/>
  <c r="CR29" i="1" s="1"/>
  <c r="AE78" i="1" l="1"/>
  <c r="CR27" i="1" s="1"/>
  <c r="AE82" i="1"/>
  <c r="CR31" i="1" s="1"/>
  <c r="AE76" i="1"/>
  <c r="CR25" i="1" s="1"/>
  <c r="CW114" i="1"/>
  <c r="AE72" i="1"/>
  <c r="CR21" i="1" s="1"/>
  <c r="CW112" i="1"/>
  <c r="AE70" i="1"/>
  <c r="CR19" i="1" s="1"/>
  <c r="CW111" i="1"/>
  <c r="AE74" i="1"/>
  <c r="CR23" i="1" s="1"/>
  <c r="CW113" i="1"/>
  <c r="AG83" i="1" l="1"/>
  <c r="X83" i="1" s="1"/>
  <c r="D119" i="1" s="1"/>
  <c r="D120"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MS</author>
    <author>u609545</author>
  </authors>
  <commentList>
    <comment ref="X58" authorId="0" shapeId="0" xr:uid="{00000000-0006-0000-0100-000001000000}">
      <text>
        <r>
          <rPr>
            <sz val="9"/>
            <color indexed="81"/>
            <rFont val="Tahoma"/>
            <family val="2"/>
          </rPr>
          <t xml:space="preserve">Die Punkteverteilung für die Zusatztipps kann im Tabellenblatt </t>
        </r>
        <r>
          <rPr>
            <b/>
            <sz val="9"/>
            <color indexed="81"/>
            <rFont val="Tahoma"/>
            <family val="2"/>
          </rPr>
          <t>"Spielregeln"</t>
        </r>
        <r>
          <rPr>
            <sz val="9"/>
            <color indexed="81"/>
            <rFont val="Tahoma"/>
            <family val="2"/>
          </rPr>
          <t xml:space="preserve"> auf Wunsch geändert werden! </t>
        </r>
        <r>
          <rPr>
            <b/>
            <sz val="9"/>
            <color indexed="81"/>
            <rFont val="Tahoma"/>
            <family val="2"/>
          </rPr>
          <t>WICHTIG:</t>
        </r>
        <r>
          <rPr>
            <sz val="9"/>
            <color indexed="81"/>
            <rFont val="Tahoma"/>
            <family val="2"/>
          </rPr>
          <t xml:space="preserve"> Die geänderte Punkteverteilung </t>
        </r>
        <r>
          <rPr>
            <b/>
            <sz val="9"/>
            <color indexed="81"/>
            <rFont val="Tahoma"/>
            <family val="2"/>
          </rPr>
          <t>MUSS</t>
        </r>
        <r>
          <rPr>
            <sz val="9"/>
            <color indexed="81"/>
            <rFont val="Tahoma"/>
            <family val="2"/>
          </rPr>
          <t xml:space="preserve"> anschließend ebenfalls in der Tippauswertungsdatei angepasst werden!</t>
        </r>
      </text>
    </comment>
    <comment ref="X113" authorId="1" shapeId="0" xr:uid="{00000000-0006-0000-0100-000002000000}">
      <text>
        <r>
          <rPr>
            <b/>
            <sz val="11"/>
            <color indexed="81"/>
            <rFont val="Segoe UI"/>
            <family val="2"/>
          </rPr>
          <t xml:space="preserve">Hinweis: </t>
        </r>
        <r>
          <rPr>
            <sz val="11"/>
            <color indexed="81"/>
            <rFont val="Segoe UI"/>
            <family val="2"/>
          </rPr>
          <t>Eine Punktevergabe ist nur bei identischer Schreibweise auf allen Tippscheinen und in der Tippauswertungsdatei gewährleistet!</t>
        </r>
      </text>
    </comment>
  </commentList>
</comments>
</file>

<file path=xl/sharedStrings.xml><?xml version="1.0" encoding="utf-8"?>
<sst xmlns="http://schemas.openxmlformats.org/spreadsheetml/2006/main" count="1796" uniqueCount="712">
  <si>
    <t>Gruppe A</t>
  </si>
  <si>
    <t>Gruppe B</t>
  </si>
  <si>
    <t>Gruppe C</t>
  </si>
  <si>
    <t>Gruppe D</t>
  </si>
  <si>
    <t>Deutschland</t>
  </si>
  <si>
    <t>Portugal</t>
  </si>
  <si>
    <t>Spanien</t>
  </si>
  <si>
    <t>Italien</t>
  </si>
  <si>
    <t>Tschechien</t>
  </si>
  <si>
    <t>Kroatien</t>
  </si>
  <si>
    <t>Frankreich</t>
  </si>
  <si>
    <t>England</t>
  </si>
  <si>
    <t>Ergebnis</t>
  </si>
  <si>
    <t>1.</t>
  </si>
  <si>
    <t>2.</t>
  </si>
  <si>
    <t>3.</t>
  </si>
  <si>
    <t>4.</t>
  </si>
  <si>
    <t>Viertelfinale</t>
  </si>
  <si>
    <t>Halbfinale</t>
  </si>
  <si>
    <t>Finale</t>
  </si>
  <si>
    <t>:</t>
  </si>
  <si>
    <t>Punkte</t>
  </si>
  <si>
    <t>Tore</t>
  </si>
  <si>
    <t>Tipp</t>
  </si>
  <si>
    <t>Gesamttabelle</t>
  </si>
  <si>
    <t>Tordifferenz</t>
  </si>
  <si>
    <t>Tendenz</t>
  </si>
  <si>
    <t>Spiel ausgetragen?</t>
  </si>
  <si>
    <t>S,U,V Ermittlung</t>
  </si>
  <si>
    <t>Heim/Auswärtssieg?</t>
  </si>
  <si>
    <t>Spiele</t>
  </si>
  <si>
    <t>S</t>
  </si>
  <si>
    <t>U</t>
  </si>
  <si>
    <t>V</t>
  </si>
  <si>
    <t>Nation</t>
  </si>
  <si>
    <t>Punkteermittlung für Tabelle</t>
  </si>
  <si>
    <t>Punkteberechnung Tipp</t>
  </si>
  <si>
    <t>A</t>
  </si>
  <si>
    <t>B</t>
  </si>
  <si>
    <t>C</t>
  </si>
  <si>
    <t>D</t>
  </si>
  <si>
    <t>Wer wird Gruppensieger?</t>
  </si>
  <si>
    <t>Wer erreicht das Viertelfinale</t>
  </si>
  <si>
    <t>Wer erreicht das Halbfinale?</t>
  </si>
  <si>
    <t>Wer erreicht das Finale?</t>
  </si>
  <si>
    <t>Gruppe A:</t>
  </si>
  <si>
    <t>Gruppe B:</t>
  </si>
  <si>
    <t>Gruppe C:</t>
  </si>
  <si>
    <t>Gruppe D:</t>
  </si>
  <si>
    <t>©</t>
  </si>
  <si>
    <t>Marco Schade</t>
  </si>
  <si>
    <t>Version:</t>
  </si>
  <si>
    <t>www.makro-excel.de</t>
  </si>
  <si>
    <t>Stand:</t>
  </si>
  <si>
    <t>Rechtlicher Hinweis:</t>
  </si>
  <si>
    <t xml:space="preserve">Das Tippspiel ist Freeware und darf nicht zu kommerziellen Zwecken genutzt oder verkauft werden. Alle Makros, Formeln und Funktionen sind Urheberrecht von www.makro-excel.de </t>
  </si>
  <si>
    <t>Spielregeln:</t>
  </si>
  <si>
    <t>Tipp:</t>
  </si>
  <si>
    <t>Ergebnis:</t>
  </si>
  <si>
    <t>Punkte:</t>
  </si>
  <si>
    <t>3:1</t>
  </si>
  <si>
    <t>Ergebnis richtig getippt</t>
  </si>
  <si>
    <t>0:0</t>
  </si>
  <si>
    <t>1:2</t>
  </si>
  <si>
    <t>0:1</t>
  </si>
  <si>
    <t>Tordifferenz richtig getippt</t>
  </si>
  <si>
    <t>2:0</t>
  </si>
  <si>
    <t>1:1</t>
  </si>
  <si>
    <t>2:2</t>
  </si>
  <si>
    <t>Tendenz richtig getippt</t>
  </si>
  <si>
    <t>3:0</t>
  </si>
  <si>
    <t>1:0</t>
  </si>
  <si>
    <t>0:2</t>
  </si>
  <si>
    <t>falsches Ergebnis</t>
  </si>
  <si>
    <t>VF1</t>
  </si>
  <si>
    <t>VF2</t>
  </si>
  <si>
    <t>VF3</t>
  </si>
  <si>
    <t>VF4</t>
  </si>
  <si>
    <t>HF1</t>
  </si>
  <si>
    <t>HF2</t>
  </si>
  <si>
    <t>Diff.</t>
  </si>
  <si>
    <t>N</t>
  </si>
  <si>
    <t>Platz</t>
  </si>
  <si>
    <t>Land</t>
  </si>
  <si>
    <t>richtige Tipps:</t>
  </si>
  <si>
    <t>Richtig getippter Gruppensieger</t>
  </si>
  <si>
    <t>Richtig getippter Viertelfinalist</t>
  </si>
  <si>
    <t>Richtig getippter Halbfinalist</t>
  </si>
  <si>
    <t>Richtig getippter Finalist</t>
  </si>
  <si>
    <t>Bei Punktgleichheit entscheiden die Meisten richtig getippten Ergebnisse. Wurde auch die gleiche Anzahl an richtigen Ergebnissen getippt, entscheidet die Anzahl der richtig getippten Tordifferenzen.</t>
  </si>
  <si>
    <t>Auf Wunsch können Sie eine andere Punkteverteilug für die Sondertipps einstellen. Ändern Sie hierfür einfach die oben grün hinterlegten Felder indem Sie die gewünschte Punktzahl je richtigen Tipp eintragen.</t>
  </si>
  <si>
    <t>Punkte VF</t>
  </si>
  <si>
    <t>Punkte HF</t>
  </si>
  <si>
    <t>Punkte F</t>
  </si>
  <si>
    <t>Punkte Gr. A</t>
  </si>
  <si>
    <t>Punkte Gr. B</t>
  </si>
  <si>
    <t>Punkte Gr. C</t>
  </si>
  <si>
    <t>Punkte Gr. D</t>
  </si>
  <si>
    <t>F</t>
  </si>
  <si>
    <t>richtige Ergebnisse:</t>
  </si>
  <si>
    <t>richtige Tordifferenz:</t>
  </si>
  <si>
    <t>richtige Tendenz:</t>
  </si>
  <si>
    <t>Punkte aus Spielen</t>
  </si>
  <si>
    <t>Punkte aus Zusatztipps</t>
  </si>
  <si>
    <t>Gesamtpunkte</t>
  </si>
  <si>
    <t>Name des Tippers:</t>
  </si>
  <si>
    <t>Welche Mannschaften erreichen das Viertelfinale?</t>
  </si>
  <si>
    <t>Welche Mannschaften erreichen das Halbfinale?</t>
  </si>
  <si>
    <t>Welche Mannschaften erreichen das Finale?</t>
  </si>
  <si>
    <t>Wer wird Europameister?</t>
  </si>
  <si>
    <t>Richtig getippter Europameister</t>
  </si>
  <si>
    <t>Pkt.</t>
  </si>
  <si>
    <t>Gegentore</t>
  </si>
  <si>
    <t>dir.Vergleich</t>
  </si>
  <si>
    <t>direktver Vergleich</t>
  </si>
  <si>
    <t>welche Spiele</t>
  </si>
  <si>
    <t>Spiele für direkte Vergleichwertung</t>
  </si>
  <si>
    <t>Punkte dV</t>
  </si>
  <si>
    <t>Tordifferenz dV</t>
  </si>
  <si>
    <t>Tore dV</t>
  </si>
  <si>
    <t>Gegentore dV</t>
  </si>
  <si>
    <t>Platz:</t>
  </si>
  <si>
    <t>P9</t>
  </si>
  <si>
    <t>R9</t>
  </si>
  <si>
    <t>P11</t>
  </si>
  <si>
    <t>R11</t>
  </si>
  <si>
    <t>AJ9</t>
  </si>
  <si>
    <t>AL9</t>
  </si>
  <si>
    <t>AJ11</t>
  </si>
  <si>
    <t>AL11</t>
  </si>
  <si>
    <t>BD9</t>
  </si>
  <si>
    <t>BF9</t>
  </si>
  <si>
    <t>BD11</t>
  </si>
  <si>
    <t>BF11</t>
  </si>
  <si>
    <t>BX9</t>
  </si>
  <si>
    <t>BZ9</t>
  </si>
  <si>
    <t>BX11</t>
  </si>
  <si>
    <t>BZ11</t>
  </si>
  <si>
    <t>P13</t>
  </si>
  <si>
    <t>R13</t>
  </si>
  <si>
    <t>P15</t>
  </si>
  <si>
    <t>R15</t>
  </si>
  <si>
    <t>AJ13</t>
  </si>
  <si>
    <t>AL13</t>
  </si>
  <si>
    <t>AJ15</t>
  </si>
  <si>
    <t>AL15</t>
  </si>
  <si>
    <t>BD13</t>
  </si>
  <si>
    <t>BF13</t>
  </si>
  <si>
    <t>BD15</t>
  </si>
  <si>
    <t>BF15</t>
  </si>
  <si>
    <t>BX13</t>
  </si>
  <si>
    <t>BZ13</t>
  </si>
  <si>
    <t>BX15</t>
  </si>
  <si>
    <t>BZ15</t>
  </si>
  <si>
    <t>P17</t>
  </si>
  <si>
    <t>R19</t>
  </si>
  <si>
    <t>AJ17</t>
  </si>
  <si>
    <t>AL19</t>
  </si>
  <si>
    <t>BD17</t>
  </si>
  <si>
    <t>BF19</t>
  </si>
  <si>
    <t>BX17</t>
  </si>
  <si>
    <t>BZ19</t>
  </si>
  <si>
    <t>P32</t>
  </si>
  <si>
    <t>R32</t>
  </si>
  <si>
    <t>P35</t>
  </si>
  <si>
    <t>R35</t>
  </si>
  <si>
    <t>P38</t>
  </si>
  <si>
    <t>R38</t>
  </si>
  <si>
    <t>P41</t>
  </si>
  <si>
    <t>R41</t>
  </si>
  <si>
    <t>P47</t>
  </si>
  <si>
    <t>R47</t>
  </si>
  <si>
    <t>P50</t>
  </si>
  <si>
    <t>R50</t>
  </si>
  <si>
    <t>P56</t>
  </si>
  <si>
    <t>R56</t>
  </si>
  <si>
    <t>Gruppe E</t>
  </si>
  <si>
    <t>Gruppe F</t>
  </si>
  <si>
    <t>Punkte Gr. E</t>
  </si>
  <si>
    <t>Punkte Gr. F</t>
  </si>
  <si>
    <t>Schweiz</t>
  </si>
  <si>
    <t>Slowakei</t>
  </si>
  <si>
    <t>Türkei</t>
  </si>
  <si>
    <t>Belgien</t>
  </si>
  <si>
    <t>Österreich</t>
  </si>
  <si>
    <t>Ungarn</t>
  </si>
  <si>
    <t>Punkte AF</t>
  </si>
  <si>
    <t>AF1</t>
  </si>
  <si>
    <t>AF2</t>
  </si>
  <si>
    <t>AF3</t>
  </si>
  <si>
    <t>AF4</t>
  </si>
  <si>
    <t>AF5</t>
  </si>
  <si>
    <t>AF6</t>
  </si>
  <si>
    <t>AF7</t>
  </si>
  <si>
    <t>AF8</t>
  </si>
  <si>
    <t>Achtelfinale</t>
  </si>
  <si>
    <t>Gruppe E:</t>
  </si>
  <si>
    <t>Gruppe F:</t>
  </si>
  <si>
    <t>E</t>
  </si>
  <si>
    <t>Welche Mannschaften erreichen das Achtelfinale?</t>
  </si>
  <si>
    <t>Richtig getippter Achtelfinalist</t>
  </si>
  <si>
    <t>Dritter Gruppe A/C/D</t>
  </si>
  <si>
    <t>Dritter Gruppe B/E/F</t>
  </si>
  <si>
    <t>Dritter Gruppe C/D/E</t>
  </si>
  <si>
    <t>Dritter Gruppe A/B/F</t>
  </si>
  <si>
    <t xml:space="preserve">Für die Tippauswertung einer Tippergemeinschaft können Sie die separate Datei für die maschinelle Tippauswertung verwenden. Diese Datei steht ebenfalls kostenfrei bei www.makro-excel.de zum Download bereit. </t>
  </si>
  <si>
    <t>Zusätzlich können Sie Sonderpunkte für richtig vorausgesagte Gruppensieger, Achtel-, Viertel-, Halb-, -Finalisten und den Europameister bekommen. Die Punkteverteilung erfolgt für die Zusatztipps wie folgt:</t>
  </si>
  <si>
    <t>Richtig getippter Torschützenkönig</t>
  </si>
  <si>
    <t>Wer wird Torschützenkönig?</t>
  </si>
  <si>
    <t>L9</t>
  </si>
  <si>
    <t>N9</t>
  </si>
  <si>
    <t>L11</t>
  </si>
  <si>
    <t>N11</t>
  </si>
  <si>
    <t>L13</t>
  </si>
  <si>
    <t>N13</t>
  </si>
  <si>
    <t>L15</t>
  </si>
  <si>
    <t>N15</t>
  </si>
  <si>
    <t>L17</t>
  </si>
  <si>
    <t>N17</t>
  </si>
  <si>
    <t>L19</t>
  </si>
  <si>
    <t>N19</t>
  </si>
  <si>
    <t>AF9</t>
  </si>
  <si>
    <t>AH9</t>
  </si>
  <si>
    <t>AF11</t>
  </si>
  <si>
    <t>AH11</t>
  </si>
  <si>
    <t>AF13</t>
  </si>
  <si>
    <t>AH13</t>
  </si>
  <si>
    <t>AF15</t>
  </si>
  <si>
    <t>AH15</t>
  </si>
  <si>
    <t>AF17</t>
  </si>
  <si>
    <t>AH17</t>
  </si>
  <si>
    <t>AF19</t>
  </si>
  <si>
    <t>AH19</t>
  </si>
  <si>
    <t>AZ9</t>
  </si>
  <si>
    <t>BB9</t>
  </si>
  <si>
    <t>AZ11</t>
  </si>
  <si>
    <t>BB11</t>
  </si>
  <si>
    <t>AZ13</t>
  </si>
  <si>
    <t>BB13</t>
  </si>
  <si>
    <t>AZ15</t>
  </si>
  <si>
    <t>BB15</t>
  </si>
  <si>
    <t>AZ17</t>
  </si>
  <si>
    <t>BB17</t>
  </si>
  <si>
    <t>AZ19</t>
  </si>
  <si>
    <t>BB19</t>
  </si>
  <si>
    <t>L37</t>
  </si>
  <si>
    <t>N37</t>
  </si>
  <si>
    <t>L39</t>
  </si>
  <si>
    <t>N39</t>
  </si>
  <si>
    <t>L41</t>
  </si>
  <si>
    <t>N41</t>
  </si>
  <si>
    <t>L43</t>
  </si>
  <si>
    <t>N43</t>
  </si>
  <si>
    <t>L45</t>
  </si>
  <si>
    <t>N45</t>
  </si>
  <si>
    <t>L47</t>
  </si>
  <si>
    <t>N47</t>
  </si>
  <si>
    <t>AF37</t>
  </si>
  <si>
    <t>AH37</t>
  </si>
  <si>
    <t>AF39</t>
  </si>
  <si>
    <t>AH39</t>
  </si>
  <si>
    <t>AF41</t>
  </si>
  <si>
    <t>AH41</t>
  </si>
  <si>
    <t>AF43</t>
  </si>
  <si>
    <t>AH43</t>
  </si>
  <si>
    <t>AF45</t>
  </si>
  <si>
    <t>AH45</t>
  </si>
  <si>
    <t>AF47</t>
  </si>
  <si>
    <t>AH47</t>
  </si>
  <si>
    <t>AZ37</t>
  </si>
  <si>
    <t>BB37</t>
  </si>
  <si>
    <t>AZ39</t>
  </si>
  <si>
    <t>BB39</t>
  </si>
  <si>
    <t>AZ41</t>
  </si>
  <si>
    <t>BB41</t>
  </si>
  <si>
    <t>AZ43</t>
  </si>
  <si>
    <t>BB43</t>
  </si>
  <si>
    <t>AZ45</t>
  </si>
  <si>
    <t>BB45</t>
  </si>
  <si>
    <t>AZ47</t>
  </si>
  <si>
    <t>BB47</t>
  </si>
  <si>
    <t>AF</t>
  </si>
  <si>
    <t>L59</t>
  </si>
  <si>
    <t>N59</t>
  </si>
  <si>
    <t>L62</t>
  </si>
  <si>
    <t>N62</t>
  </si>
  <si>
    <t>L65</t>
  </si>
  <si>
    <t>N65</t>
  </si>
  <si>
    <t>L68</t>
  </si>
  <si>
    <t>N68</t>
  </si>
  <si>
    <t>L71</t>
  </si>
  <si>
    <t>N71</t>
  </si>
  <si>
    <t>L74</t>
  </si>
  <si>
    <t>N74</t>
  </si>
  <si>
    <t>L77</t>
  </si>
  <si>
    <t>N77</t>
  </si>
  <si>
    <t>L80</t>
  </si>
  <si>
    <t>N80</t>
  </si>
  <si>
    <t>VF</t>
  </si>
  <si>
    <t>L86</t>
  </si>
  <si>
    <t>N86</t>
  </si>
  <si>
    <t>L89</t>
  </si>
  <si>
    <t>N89</t>
  </si>
  <si>
    <t>L92</t>
  </si>
  <si>
    <t>N92</t>
  </si>
  <si>
    <t>L95</t>
  </si>
  <si>
    <t>N95</t>
  </si>
  <si>
    <t>HF</t>
  </si>
  <si>
    <t>L101</t>
  </si>
  <si>
    <t>N101</t>
  </si>
  <si>
    <t>L104</t>
  </si>
  <si>
    <t>N104</t>
  </si>
  <si>
    <t>L110</t>
  </si>
  <si>
    <t>N110</t>
  </si>
  <si>
    <t>Vorrunde</t>
  </si>
  <si>
    <t>Finalrunde</t>
  </si>
  <si>
    <t>Ergebnis richtig getippt:</t>
  </si>
  <si>
    <t>Tordifferenz richtig getippt:</t>
  </si>
  <si>
    <t>Tendenz richtig getippt:</t>
  </si>
  <si>
    <t>Beispiele für die Punkteberechnung (Vorrundenspiele):</t>
  </si>
  <si>
    <t>C11</t>
  </si>
  <si>
    <t>E11</t>
  </si>
  <si>
    <t>C13</t>
  </si>
  <si>
    <t>E13</t>
  </si>
  <si>
    <t>C15</t>
  </si>
  <si>
    <t>E15</t>
  </si>
  <si>
    <t>C17</t>
  </si>
  <si>
    <t>E17</t>
  </si>
  <si>
    <t>C19</t>
  </si>
  <si>
    <t>E19</t>
  </si>
  <si>
    <t>W11</t>
  </si>
  <si>
    <t>Y11</t>
  </si>
  <si>
    <t>W13</t>
  </si>
  <si>
    <t>Y13</t>
  </si>
  <si>
    <t>W15</t>
  </si>
  <si>
    <t>Y15</t>
  </si>
  <si>
    <t>W17</t>
  </si>
  <si>
    <t>Y17</t>
  </si>
  <si>
    <t>W19</t>
  </si>
  <si>
    <t>Y19</t>
  </si>
  <si>
    <t>AQ11</t>
  </si>
  <si>
    <t>AS11</t>
  </si>
  <si>
    <t>AQ13</t>
  </si>
  <si>
    <t>AS13</t>
  </si>
  <si>
    <t>AQ15</t>
  </si>
  <si>
    <t>AS15</t>
  </si>
  <si>
    <t>AQ17</t>
  </si>
  <si>
    <t>AS17</t>
  </si>
  <si>
    <t>AQ19</t>
  </si>
  <si>
    <t>AS19</t>
  </si>
  <si>
    <t>C37</t>
  </si>
  <si>
    <t>E37</t>
  </si>
  <si>
    <t>C39</t>
  </si>
  <si>
    <t>E39</t>
  </si>
  <si>
    <t>C41</t>
  </si>
  <si>
    <t>E41</t>
  </si>
  <si>
    <t>C43</t>
  </si>
  <si>
    <t>E43</t>
  </si>
  <si>
    <t>C45</t>
  </si>
  <si>
    <t>E45</t>
  </si>
  <si>
    <t>C47</t>
  </si>
  <si>
    <t>E47</t>
  </si>
  <si>
    <t>W37</t>
  </si>
  <si>
    <t>Y37</t>
  </si>
  <si>
    <t>W39</t>
  </si>
  <si>
    <t>Y39</t>
  </si>
  <si>
    <t>W41</t>
  </si>
  <si>
    <t>Y41</t>
  </si>
  <si>
    <t>W43</t>
  </si>
  <si>
    <t>Y43</t>
  </si>
  <si>
    <t>W45</t>
  </si>
  <si>
    <t>Y45</t>
  </si>
  <si>
    <t>W47</t>
  </si>
  <si>
    <t>Y47</t>
  </si>
  <si>
    <t>AQ37</t>
  </si>
  <si>
    <t>AS37</t>
  </si>
  <si>
    <t>AQ39</t>
  </si>
  <si>
    <t>AS39</t>
  </si>
  <si>
    <t>AQ41</t>
  </si>
  <si>
    <t>AS41</t>
  </si>
  <si>
    <t>AQ43</t>
  </si>
  <si>
    <t>AS43</t>
  </si>
  <si>
    <t>AQ45</t>
  </si>
  <si>
    <t>AS45</t>
  </si>
  <si>
    <t>AQ47</t>
  </si>
  <si>
    <t>AS47</t>
  </si>
  <si>
    <t>C59</t>
  </si>
  <si>
    <t>E59</t>
  </si>
  <si>
    <t>C62</t>
  </si>
  <si>
    <t>E62</t>
  </si>
  <si>
    <t>C65</t>
  </si>
  <si>
    <t>E65</t>
  </si>
  <si>
    <t>C68</t>
  </si>
  <si>
    <t>E68</t>
  </si>
  <si>
    <t>C71</t>
  </si>
  <si>
    <t>E71</t>
  </si>
  <si>
    <t>C74</t>
  </si>
  <si>
    <t>E74</t>
  </si>
  <si>
    <t>C77</t>
  </si>
  <si>
    <t>E77</t>
  </si>
  <si>
    <t>C80</t>
  </si>
  <si>
    <t>E80</t>
  </si>
  <si>
    <t>C86</t>
  </si>
  <si>
    <t>E86</t>
  </si>
  <si>
    <t>C89</t>
  </si>
  <si>
    <t>E89</t>
  </si>
  <si>
    <t>C92</t>
  </si>
  <si>
    <t>E92</t>
  </si>
  <si>
    <t>C95</t>
  </si>
  <si>
    <t>E95</t>
  </si>
  <si>
    <t>C9</t>
  </si>
  <si>
    <t>E9</t>
  </si>
  <si>
    <t>W9</t>
  </si>
  <si>
    <t>Y9</t>
  </si>
  <si>
    <t>AQ9</t>
  </si>
  <si>
    <t>AS9</t>
  </si>
  <si>
    <t>C110</t>
  </si>
  <si>
    <t>E110</t>
  </si>
  <si>
    <t>C104</t>
  </si>
  <si>
    <t>E104</t>
  </si>
  <si>
    <t>C101</t>
  </si>
  <si>
    <t>E101</t>
  </si>
  <si>
    <t>Gruppendritte</t>
  </si>
  <si>
    <t>Rang</t>
  </si>
  <si>
    <t>1B</t>
  </si>
  <si>
    <t>1C</t>
  </si>
  <si>
    <t>ABCD</t>
  </si>
  <si>
    <t>ABCE</t>
  </si>
  <si>
    <t>ABCF</t>
  </si>
  <si>
    <t>ABDE</t>
  </si>
  <si>
    <t>ABDF</t>
  </si>
  <si>
    <t>ABEF</t>
  </si>
  <si>
    <t>ACDE</t>
  </si>
  <si>
    <t>ACDF</t>
  </si>
  <si>
    <t>ACEF</t>
  </si>
  <si>
    <t>ADEF</t>
  </si>
  <si>
    <t>BCDE</t>
  </si>
  <si>
    <t>BCDF</t>
  </si>
  <si>
    <t>BCEF</t>
  </si>
  <si>
    <t>BDEF</t>
  </si>
  <si>
    <t>CDEF</t>
  </si>
  <si>
    <t>P19</t>
  </si>
  <si>
    <t>P37</t>
  </si>
  <si>
    <t>P39</t>
  </si>
  <si>
    <t>P43</t>
  </si>
  <si>
    <t>P45</t>
  </si>
  <si>
    <t>P59</t>
  </si>
  <si>
    <t>P62</t>
  </si>
  <si>
    <t>P65</t>
  </si>
  <si>
    <t>P68</t>
  </si>
  <si>
    <t>P71</t>
  </si>
  <si>
    <t>P74</t>
  </si>
  <si>
    <t>P77</t>
  </si>
  <si>
    <t>P80</t>
  </si>
  <si>
    <t>P86</t>
  </si>
  <si>
    <t>P89</t>
  </si>
  <si>
    <t>P92</t>
  </si>
  <si>
    <t>P95</t>
  </si>
  <si>
    <t>P101</t>
  </si>
  <si>
    <t>P104</t>
  </si>
  <si>
    <t>P110</t>
  </si>
  <si>
    <t>R17</t>
  </si>
  <si>
    <t>R37</t>
  </si>
  <si>
    <t>R39</t>
  </si>
  <si>
    <t>R43</t>
  </si>
  <si>
    <t>R45</t>
  </si>
  <si>
    <t>R59</t>
  </si>
  <si>
    <t>R62</t>
  </si>
  <si>
    <t>R65</t>
  </si>
  <si>
    <t>R68</t>
  </si>
  <si>
    <t>R71</t>
  </si>
  <si>
    <t>R74</t>
  </si>
  <si>
    <t>R77</t>
  </si>
  <si>
    <t>R80</t>
  </si>
  <si>
    <t>R86</t>
  </si>
  <si>
    <t>R89</t>
  </si>
  <si>
    <t>R92</t>
  </si>
  <si>
    <t>R95</t>
  </si>
  <si>
    <t>R101</t>
  </si>
  <si>
    <t>R104</t>
  </si>
  <si>
    <t>R110</t>
  </si>
  <si>
    <t>AJ19</t>
  </si>
  <si>
    <t>AJ37</t>
  </si>
  <si>
    <t>AJ39</t>
  </si>
  <si>
    <t>AJ41</t>
  </si>
  <si>
    <t>AJ43</t>
  </si>
  <si>
    <t>AJ45</t>
  </si>
  <si>
    <t>AJ47</t>
  </si>
  <si>
    <t>AL17</t>
  </si>
  <si>
    <t>AL37</t>
  </si>
  <si>
    <t>AL39</t>
  </si>
  <si>
    <t>AL41</t>
  </si>
  <si>
    <t>AL43</t>
  </si>
  <si>
    <t>AL45</t>
  </si>
  <si>
    <t>AL47</t>
  </si>
  <si>
    <t>BD19</t>
  </si>
  <si>
    <t>BD37</t>
  </si>
  <si>
    <t>BD39</t>
  </si>
  <si>
    <t>BD41</t>
  </si>
  <si>
    <t>BD43</t>
  </si>
  <si>
    <t>BD45</t>
  </si>
  <si>
    <t>BD47</t>
  </si>
  <si>
    <t>BF17</t>
  </si>
  <si>
    <t>BF37</t>
  </si>
  <si>
    <t>BF39</t>
  </si>
  <si>
    <t>BF41</t>
  </si>
  <si>
    <t>BF43</t>
  </si>
  <si>
    <t>BF45</t>
  </si>
  <si>
    <t>BF47</t>
  </si>
  <si>
    <t>Dänemark</t>
  </si>
  <si>
    <t>Niederlande</t>
  </si>
  <si>
    <t>Schottland</t>
  </si>
  <si>
    <t>1E</t>
  </si>
  <si>
    <t>1F</t>
  </si>
  <si>
    <t>Gegner von</t>
  </si>
  <si>
    <t>Makro LandSpalteCS</t>
  </si>
  <si>
    <t>H</t>
  </si>
  <si>
    <t>bitte auswählen</t>
  </si>
  <si>
    <t>90 Minuten</t>
  </si>
  <si>
    <t>120 Minuten</t>
  </si>
  <si>
    <t>Endergebnis</t>
  </si>
  <si>
    <t>Unentschieden werten als:</t>
  </si>
  <si>
    <t>In der Finalrunde können Sie die Spielergebnisse wahlweise nach 90 oder 120 Minuten, bzw. nach Elfmeterschießen tippen. Tragen Sie je nach Wahl das Ergebnis nach 90 oder 120 Minuten, bzw. nach Elfmeterschießen in den Spielplan ein. Hinweis: Bei Unentschieden müssen Sie zudem den Sieger angeben um die nächste Runde tippen zu können.</t>
  </si>
  <si>
    <t>Tipp der Finalrunde nach:</t>
  </si>
  <si>
    <t>Spieltag</t>
  </si>
  <si>
    <t>Partie</t>
  </si>
  <si>
    <t>Sp</t>
  </si>
  <si>
    <t>Sp2</t>
  </si>
  <si>
    <t>Z</t>
  </si>
  <si>
    <t>P</t>
  </si>
  <si>
    <t>R</t>
  </si>
  <si>
    <t>T</t>
  </si>
  <si>
    <t>AJ</t>
  </si>
  <si>
    <t>AN</t>
  </si>
  <si>
    <t>BD</t>
  </si>
  <si>
    <t>BF</t>
  </si>
  <si>
    <t>BH</t>
  </si>
  <si>
    <t>=Spielplan!P9&amp;":"&amp;Spielplan!R9</t>
  </si>
  <si>
    <t>="("&amp;Spielplan!T9&amp;")"</t>
  </si>
  <si>
    <t>FF</t>
  </si>
  <si>
    <t>Spielplan!P9&amp;":"&amp;Spielplan!R9</t>
  </si>
  <si>
    <t/>
  </si>
  <si>
    <t>"("&amp;Spielplan!T9&amp;")"</t>
  </si>
  <si>
    <t>Spielplan!P11&amp;":"&amp;Spielplan!R11</t>
  </si>
  <si>
    <t>"("&amp;Spielplan!T11&amp;")"</t>
  </si>
  <si>
    <t>"("&amp;Spielplan!AN11&amp;")"</t>
  </si>
  <si>
    <t>"("&amp;Spielplan!AN37&amp;")"</t>
  </si>
  <si>
    <t>Spielplan!P37&amp;":"&amp;Spielplan!R37</t>
  </si>
  <si>
    <t>"("&amp;Spielplan!T37&amp;")"</t>
  </si>
  <si>
    <t>Spielplan!BD9&amp;":"&amp;Spielplan!BF9</t>
  </si>
  <si>
    <t>"("&amp;Spielplan!BH39&amp;")"</t>
  </si>
  <si>
    <t>Spielplan!BD11&amp;":"&amp;Spielplan!BF11</t>
  </si>
  <si>
    <t>"("&amp;Spielplan!BH37&amp;")"</t>
  </si>
  <si>
    <t>Spielplan!P39&amp;":"&amp;Spielplan!R39</t>
  </si>
  <si>
    <t>"("&amp;Spielplan!T39&amp;")"</t>
  </si>
  <si>
    <t>"("&amp;Spielplan!AN39&amp;")"</t>
  </si>
  <si>
    <t>Spielplan!BD37&amp;":"&amp;Spielplan!BF37</t>
  </si>
  <si>
    <t>"("&amp;Spielplan!BH13&amp;")"</t>
  </si>
  <si>
    <t>Spielplan!BD39&amp;":"&amp;Spielplan!BF39</t>
  </si>
  <si>
    <t>"("&amp;Spielplan!AN13&amp;")"</t>
  </si>
  <si>
    <t>Spielplan!P13&amp;":"&amp;Spielplan!R13</t>
  </si>
  <si>
    <t>"("&amp;Spielplan!T13&amp;")"</t>
  </si>
  <si>
    <t>Spielplan!P15&amp;":"&amp;Spielplan!R15</t>
  </si>
  <si>
    <t>"("&amp;Spielplan!T15&amp;")"</t>
  </si>
  <si>
    <t>Spielplan!BD13&amp;":"&amp;Spielplan!BF13</t>
  </si>
  <si>
    <t>"("&amp;Spielplan!BH15&amp;")"</t>
  </si>
  <si>
    <t>"("&amp;Spielplan!AN15&amp;")"</t>
  </si>
  <si>
    <t>Spielplan!BD15&amp;":"&amp;Spielplan!BF15</t>
  </si>
  <si>
    <t>"("&amp;Spielplan!BH41&amp;")"</t>
  </si>
  <si>
    <t>"("&amp;Spielplan!AN41&amp;")"</t>
  </si>
  <si>
    <t>Spielplan!P41&amp;":"&amp;Spielplan!R41</t>
  </si>
  <si>
    <t>"("&amp;Spielplan!T41&amp;")"</t>
  </si>
  <si>
    <t>Spielplan!P43&amp;":"&amp;Spielplan!R43</t>
  </si>
  <si>
    <t>"("&amp;Spielplan!T43&amp;")"</t>
  </si>
  <si>
    <t>Spielplan!BD41&amp;":"&amp;Spielplan!BF41</t>
  </si>
  <si>
    <t>"("&amp;Spielplan!BH43&amp;")"</t>
  </si>
  <si>
    <t>Spielplan!BD43&amp;":"&amp;Spielplan!BF43</t>
  </si>
  <si>
    <t>"("&amp;Spielplan!BH17&amp;")"</t>
  </si>
  <si>
    <t>"("&amp;Spielplan!AN17&amp;")"</t>
  </si>
  <si>
    <t>Spielplan!P17&amp;":"&amp;Spielplan!R17</t>
  </si>
  <si>
    <t>"("&amp;Spielplan!T17&amp;")"</t>
  </si>
  <si>
    <t>Spielplan!P19&amp;":"&amp;Spielplan!R19</t>
  </si>
  <si>
    <t>"("&amp;Spielplan!T19&amp;")"</t>
  </si>
  <si>
    <t>Spielplan!BD17&amp;":"&amp;Spielplan!BF17</t>
  </si>
  <si>
    <t>Spielplan!BD19&amp;":"&amp;Spielplan!BF19</t>
  </si>
  <si>
    <t>"("&amp;Spielplan!BH19&amp;")"</t>
  </si>
  <si>
    <t>"("&amp;Spielplan!AN19&amp;")"</t>
  </si>
  <si>
    <t>"("&amp;Spielplan!AN45&amp;")"</t>
  </si>
  <si>
    <t>Spielplan!P45&amp;":"&amp;Spielplan!R45</t>
  </si>
  <si>
    <t>"("&amp;Spielplan!T45&amp;")"</t>
  </si>
  <si>
    <t>Spielplan!P47&amp;":"&amp;Spielplan!R47</t>
  </si>
  <si>
    <t>"("&amp;Spielplan!T47&amp;")"</t>
  </si>
  <si>
    <t>"("&amp;Spielplan!AN47&amp;")"</t>
  </si>
  <si>
    <t>Spielplan!BD45&amp;":"&amp;Spielplan!BF45</t>
  </si>
  <si>
    <t>Spielplan!BD47&amp;":"&amp;Spielplan!BF47</t>
  </si>
  <si>
    <t>Spielplan!P59&amp;":"&amp;Spielplan!R59</t>
  </si>
  <si>
    <t>"("&amp;Spielplan!T59&amp;")"</t>
  </si>
  <si>
    <t>Spielplan!P62&amp;":"&amp;Spielplan!R62</t>
  </si>
  <si>
    <t>"("&amp;Spielplan!T62&amp;")"</t>
  </si>
  <si>
    <t>Spielplan!P65&amp;":"&amp;Spielplan!R65</t>
  </si>
  <si>
    <t>"("&amp;Spielplan!T65&amp;")"</t>
  </si>
  <si>
    <t>Spielplan!P68&amp;":"&amp;Spielplan!R68</t>
  </si>
  <si>
    <t>"("&amp;Spielplan!T68&amp;")"</t>
  </si>
  <si>
    <t>Spielplan!P71&amp;":"&amp;Spielplan!R71</t>
  </si>
  <si>
    <t>"("&amp;Spielplan!T71&amp;")"</t>
  </si>
  <si>
    <t>Spielplan!P74&amp;":"&amp;Spielplan!R74</t>
  </si>
  <si>
    <t>"("&amp;Spielplan!T74&amp;")"</t>
  </si>
  <si>
    <t>Spielplan!P77&amp;":"&amp;Spielplan!R77</t>
  </si>
  <si>
    <t>"("&amp;Spielplan!T77&amp;")"</t>
  </si>
  <si>
    <t>Spielplan!P80&amp;":"&amp;Spielplan!R80</t>
  </si>
  <si>
    <t>"("&amp;Spielplan!T80&amp;")"</t>
  </si>
  <si>
    <t>Spielplan!P86&amp;":"&amp;Spielplan!R86</t>
  </si>
  <si>
    <t>"("&amp;Spielplan!T86&amp;")"</t>
  </si>
  <si>
    <t>Spielplan!P89&amp;":"&amp;Spielplan!R89</t>
  </si>
  <si>
    <t>"("&amp;Spielplan!T89&amp;")"</t>
  </si>
  <si>
    <t>Spielplan!P92&amp;":"&amp;Spielplan!R92</t>
  </si>
  <si>
    <t>"("&amp;Spielplan!T92&amp;")"</t>
  </si>
  <si>
    <t>Spielplan!P95&amp;":"&amp;Spielplan!R95</t>
  </si>
  <si>
    <t>"("&amp;Spielplan!T95&amp;")"</t>
  </si>
  <si>
    <t>Spielplan!P101&amp;":"&amp;Spielplan!R101</t>
  </si>
  <si>
    <t>"("&amp;Spielplan!T101&amp;")"</t>
  </si>
  <si>
    <t>Spielplan!P104&amp;":"&amp;Spielplan!R104</t>
  </si>
  <si>
    <t>"("&amp;Spielplan!T104&amp;")"</t>
  </si>
  <si>
    <t>Spielplan!P110&amp;":"&amp;Spielplan!R110</t>
  </si>
  <si>
    <t>"("&amp;Spielplan!T110&amp;")"</t>
  </si>
  <si>
    <t>AL</t>
  </si>
  <si>
    <t>Spielplan!AJ9&amp;":"&amp;Spielplan!AL9</t>
  </si>
  <si>
    <t>Spielplan!AJ11&amp;":"&amp;Spielplan!AL11</t>
  </si>
  <si>
    <t>Spielplan!AJ37&amp;":"&amp;Spielplan!AL37</t>
  </si>
  <si>
    <t>Spielplan!AJ39&amp;":"&amp;Spielplan!AL39</t>
  </si>
  <si>
    <t>Spielplan!AJ13&amp;":"&amp;Spielplan!AL13</t>
  </si>
  <si>
    <t>Spielplan!AJ15&amp;":"&amp;Spielplan!AL15</t>
  </si>
  <si>
    <t>Spielplan!AJ41&amp;":"&amp;Spielplan!AL41</t>
  </si>
  <si>
    <t>Spielplan!AJ43&amp;":"&amp;Spielplan!AL43</t>
  </si>
  <si>
    <t>Spielplan!AJ17&amp;":"&amp;Spielplan!AL17</t>
  </si>
  <si>
    <t>Spielplan!AJ19&amp;":"&amp;Spielplan!AL19</t>
  </si>
  <si>
    <t>Spielplan!AJ45&amp;":"&amp;Spielplan!AL45</t>
  </si>
  <si>
    <t>Spielplan!AJ47&amp;":"&amp;Spielplan!AL47</t>
  </si>
  <si>
    <t>"("&amp;Spielplan!AN9&amp;")"</t>
  </si>
  <si>
    <t>"("&amp;Spielplan!BH9&amp;")"</t>
  </si>
  <si>
    <t>"("&amp;Spielplan!BH11&amp;")"</t>
  </si>
  <si>
    <t>"("&amp;Spielplan!AN43&amp;")"</t>
  </si>
  <si>
    <t>"("&amp;Spielplan!BH45&amp;")"</t>
  </si>
  <si>
    <t>"("&amp;Spielplan!BH47&amp;")"</t>
  </si>
  <si>
    <t>Benutzerhandbuch</t>
  </si>
  <si>
    <t>Fr., 14. Juni 2024 um 21:00 Uhr (MESZ) in München</t>
  </si>
  <si>
    <t>Sa., 15. Juni 2024 um 15:00 Uhr (MESZ) in Köln</t>
  </si>
  <si>
    <t>Mi., 19. Juni 2024 um 18:00 Uhr (MESZ) in Stuttgart</t>
  </si>
  <si>
    <t>Mi., 19. Juni 2024 um 21:00 Uhr (MESZ) in Köln</t>
  </si>
  <si>
    <t>So., 23. Juni 2024 um 21:00 Uhr (MESZ) in Frankfurt am Main</t>
  </si>
  <si>
    <t>So., 23. Juni 2024 um 21:00 Uhr (MESZ) in Stuttgart</t>
  </si>
  <si>
    <t>Albanien</t>
  </si>
  <si>
    <t>Sa., 15. Juni 2024 um 18:00 Uhr (MESZ) in Berlin</t>
  </si>
  <si>
    <t>Sa., 15. Juni 2024 um 21:00 Uhr (MESZ) in Dortmund</t>
  </si>
  <si>
    <t>Mi., 19. Juni 2024 um 15:00 Uhr (MESZ) in Hamburg</t>
  </si>
  <si>
    <t>Do., 20. Juni 2024 um 21:00 Uhr (MESZ) in Gelsenkirchen</t>
  </si>
  <si>
    <t>Mo., 24. Juni 2024 um 21:00 Uhr (MESZ) in Leipzig</t>
  </si>
  <si>
    <t>Mo., 24. Juni 2024 um 21:00 Uhr (MESZ) in Düsseldorf</t>
  </si>
  <si>
    <t>Slowenien</t>
  </si>
  <si>
    <t>Serbien</t>
  </si>
  <si>
    <t>So., 16. Juni 2024 um 18:00 Uhr (MESZ) in Stuttgart</t>
  </si>
  <si>
    <t>So., 16. Juni 2024 um 21:00 Uhr (MESZ) in Gelsenkirchen</t>
  </si>
  <si>
    <t>Do., 20. Juni 2024 um 15:00 Uhr (MESZ) in München</t>
  </si>
  <si>
    <t>Do., 20. Juni 2024 um 18:00 Uhr (MESZ) in Frankfurt am Main</t>
  </si>
  <si>
    <t>Di., 25. Juni 2024 um 21:00 Uhr (MESZ) in Köln</t>
  </si>
  <si>
    <t>Di., 25. Juni 2024 um 21:00 Uhr (MESZ) in München</t>
  </si>
  <si>
    <t>So., 16. Juni 2024 um 15:00 Uhr (MESZ) in Hamburg</t>
  </si>
  <si>
    <t>Mo., 17. Juni 2024 um 21:00 Uhr (MESZ) in Düsseldorf</t>
  </si>
  <si>
    <t>Fr., 21. Juni 2024 um 18:00 Uhr (MESZ) in Berlin</t>
  </si>
  <si>
    <t>Fr., 21. Juni 2024 um 21:00 Uhr (MESZ) in Leipzig</t>
  </si>
  <si>
    <t>Di., 25. Juni 2024 um 18:00 Uhr (MESZ) in Berlin</t>
  </si>
  <si>
    <t>Di., 25. Juni 2024 um 18:00 Uhr (MESZ) in Dortmund</t>
  </si>
  <si>
    <t>Rumänien</t>
  </si>
  <si>
    <t>Mo., 17. Juni 2024 um 15:00 Uhr (MESZ) in München</t>
  </si>
  <si>
    <t>Mo., 17. Juni 2024 um 18:00 Uhr (MESZ) in Frankfurt am Main</t>
  </si>
  <si>
    <t>Fr., 21. Juni 2024 um 15:00 Uhr (MESZ) in Düsseldorf</t>
  </si>
  <si>
    <t>Sa., 22. Juni 2024 um 21:00 Uhr (MESZ) in Köln</t>
  </si>
  <si>
    <t>Mi., 26. Juni 2024 um 18:00 Uhr (MESZ) in Frankfurt am Main</t>
  </si>
  <si>
    <t>Mi., 26. Juni 2024 um 18:00 Uhr (MESZ) in Stuttgart</t>
  </si>
  <si>
    <t>Di., 18. Juni 2024 um 18:00 Uhr (MESZ) in Dortmund</t>
  </si>
  <si>
    <t>Di., 18. Juni 2024 um 21:00 Uhr (MESZ) in Leipzig</t>
  </si>
  <si>
    <t>Sa., 22. Juni 2024 um 15:00 Uhr (MESZ) in Hamburg</t>
  </si>
  <si>
    <t>Sa., 22. Juni 2024 um 18:00 Uhr (MESZ) in Dortmund</t>
  </si>
  <si>
    <t>Mi., 26. Juni 2024 um 21:00 Uhr (MESZ) in Gelsenkirchen</t>
  </si>
  <si>
    <t>Mi., 26. Juni 2024 um 21:00 Uhr (MESZ) in Hamburg</t>
  </si>
  <si>
    <t>Sa., 29. Juni 2024 um 21:00 Uhr (MESZ) in Dortmund (Sieger Gruppe A - Zweiter Gruppe C)</t>
  </si>
  <si>
    <t>Sa., 29. Juni 2024 um 18:00 Uhr (MESZ) in Berlin (Zweiter Gruppe A - Zweiter Gruppe B)</t>
  </si>
  <si>
    <t>So., 30. Juni 2024 um 21:00 Uhr (MESZ) in Köln (Sieger Gruppe B - Dritter Gruppe A/D/E/F)</t>
  </si>
  <si>
    <t>So., 30. Juni 2024 um 18:00 Uhr (MESZ) in Gelsenkirchen (Sieger Gruppe C - Dritter Gruppe D/E/F)</t>
  </si>
  <si>
    <t>Mo., 1. Juli 2024 um 21:00 Uhr (MESZ) in Frankfurt am Main (Sieger Gruppe F - Dritter Gruppe A/B/C)</t>
  </si>
  <si>
    <t>Mo., 1. Juli 2024 um 18:00 Uhr (MESZ) in Düsseldorf (Zweiter Gruppe D - Zweiter Gruppe E)</t>
  </si>
  <si>
    <t>Di., 2. Juli 2024 um 18:00 Uhr (MESZ) in München (Sieger Gruppe E - Dritter Gruppe A/B/C/D)</t>
  </si>
  <si>
    <t>Di., 2. Juli 2024 um 21:00 Uhr (MESZ) in Leipzig (Sieger Gruppe D - Zweiter Gruppe F)</t>
  </si>
  <si>
    <t>Fr., 5. Juli 2024 um 18:00 Uhr (MESZ) in Stuttgart (Sieger AF3 - Sieger AF1)</t>
  </si>
  <si>
    <t>Fr., 5. Juli 2024 um 21:00 Uhr (MESZ) in Hamburg (Sieger AF5 - Sieger AF6)</t>
  </si>
  <si>
    <t>Sa., 6. Juli 2024 um 21:00 Uhr (MESZ) in Berlin (Sieger AF7 - Sieger AF8)</t>
  </si>
  <si>
    <t>Sa., 6. Juli 2024 um 18:00 Uhr (MESZ) in Düsseldorf (Sieger AF4 - Sieger AF2)</t>
  </si>
  <si>
    <t>Di., 9. Juli 2024 um 21:00 Uhr (MESZ) in München (Sieger VF1 - Sieger VF2)</t>
  </si>
  <si>
    <t>Mi., 10. Juli 2024 um 21:00 Uhr (MESZ) in Dortmund (Sieger VF3 - Sieger VF4)</t>
  </si>
  <si>
    <t>So., 14. Juli 2024 um 21:00 Uhr (MESZ) in Berlin (Sieger HF1 - Sieger HF2)</t>
  </si>
  <si>
    <t>(nicht per Formel, sonst werden die beim sortieren falschen Zellen zugeordnet!)</t>
  </si>
  <si>
    <t>3.9.1</t>
  </si>
  <si>
    <t xml:space="preserve">Die Makros sind signiert (www.makro-excel.de) und dürfen weder kopiert noch verändert werden. Achten Sie darauf, dass die Makro-Sicherheitsstufe auf "Mittel" eingestellt ist. Aktivieren Sie aus Sicherheitsgründen keine unsignierten Makros! Die Nutzung des Excel-Tippspiels erfolgt ausschließlich auf eigene Gefahr. www.makro-excel.de haftet nicht für Fehler oder Probleme, die bei der Verwendung des Tippspiels auftreten. Wenn Sie aus Sicherheitsgründen keine Dateien aus dem Internet laden wollen, können Sie die Datei per Email oder gegen Freiumschlag und CD-Rohling per Post erhalten. </t>
  </si>
  <si>
    <t xml:space="preserve">Für die Tippauswertung einer Tippergemeinschaft können Sie die Tippauswertungs-Auswertung verwenden. Diese Datei ist im Downloadpaket auf  www.makro-excel.de enthalten. </t>
  </si>
  <si>
    <t>Jahr:</t>
  </si>
  <si>
    <t>Zeilennummer</t>
  </si>
  <si>
    <t>Polen</t>
  </si>
  <si>
    <t>Ukraine</t>
  </si>
  <si>
    <t>Georgien</t>
  </si>
  <si>
    <t>Sie haben entweder die Ausführung der notwendigen Makros abgelehnt, oder Ihre Sicherheitseinstellung verhindert die Ausführung von Makros.</t>
  </si>
  <si>
    <t xml:space="preserve">Falls nötig können Sie die Sicherheitseinstellungen im Trust Center ändern. Bitte aktivieren Sie immer nur Makros aus vertrauenswürdigen Quellen! (Die folgende Vorgehensweise bezieht sich auf Microsoft 365. In anderen Excelversionen kann die Aktivierung von Makros geringfügig anders funktionieren!)
</t>
  </si>
  <si>
    <r>
      <t>Hinweis:</t>
    </r>
    <r>
      <rPr>
        <sz val="11"/>
        <rFont val="Calibri"/>
        <family val="2"/>
        <scheme val="minor"/>
      </rPr>
      <t xml:space="preserve"> Das Excel-Tippspiel kann nur mit aktivierten Makros korrekt ausgeführt werden. Bitte starten Sie die Datei mit aktivierten Makros erneut.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</si>
</sst>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 h:mm;@"/>
  </numFmts>
  <fonts count="26" x14ac:knownFonts="1">
    <font>
      <sz val="10"/>
      <name val="Arial"/>
    </font>
    <font>
      <sz val="8"/>
      <name val="Arial"/>
      <family val="2"/>
    </font>
    <font>
      <b/>
      <sz val="10"/>
      <color indexed="9"/>
      <name val="Arial"/>
      <family val="2"/>
    </font>
    <font>
      <b/>
      <sz val="10"/>
      <name val="Arial"/>
      <family val="2"/>
    </font>
    <font>
      <u/>
      <sz val="10"/>
      <color indexed="12"/>
      <name val="Arial"/>
      <family val="2"/>
    </font>
    <font>
      <b/>
      <sz val="8"/>
      <color indexed="23"/>
      <name val="Arial"/>
      <family val="2"/>
    </font>
    <font>
      <sz val="10"/>
      <name val="Arial"/>
      <family val="2"/>
    </font>
    <font>
      <sz val="9"/>
      <color indexed="81"/>
      <name val="Tahoma"/>
      <family val="2"/>
    </font>
    <font>
      <b/>
      <sz val="9"/>
      <color indexed="81"/>
      <name val="Tahoma"/>
      <family val="2"/>
    </font>
    <font>
      <sz val="8"/>
      <color indexed="23"/>
      <name val="Arial"/>
      <family val="2"/>
    </font>
    <font>
      <b/>
      <sz val="10"/>
      <color indexed="10"/>
      <name val="Arial"/>
      <family val="2"/>
    </font>
    <font>
      <sz val="1"/>
      <color indexed="9"/>
      <name val="Arial"/>
      <family val="2"/>
    </font>
    <font>
      <strike/>
      <sz val="10"/>
      <name val="Arial"/>
      <family val="2"/>
    </font>
    <font>
      <b/>
      <strike/>
      <sz val="10"/>
      <color indexed="9"/>
      <name val="Arial"/>
      <family val="2"/>
    </font>
    <font>
      <strike/>
      <sz val="8"/>
      <color indexed="23"/>
      <name val="Arial"/>
      <family val="2"/>
    </font>
    <font>
      <strike/>
      <sz val="1"/>
      <color indexed="9"/>
      <name val="Arial"/>
      <family val="2"/>
    </font>
    <font>
      <b/>
      <strike/>
      <sz val="8"/>
      <color indexed="23"/>
      <name val="Arial"/>
      <family val="2"/>
    </font>
    <font>
      <sz val="10"/>
      <color theme="1"/>
      <name val="Arial"/>
      <family val="2"/>
    </font>
    <font>
      <sz val="10"/>
      <color rgb="FFFF0000"/>
      <name val="Arial"/>
      <family val="2"/>
    </font>
    <font>
      <sz val="10"/>
      <color theme="0"/>
      <name val="Arial"/>
      <family val="2"/>
    </font>
    <font>
      <sz val="11"/>
      <color indexed="81"/>
      <name val="Segoe UI"/>
      <family val="2"/>
    </font>
    <font>
      <b/>
      <sz val="11"/>
      <color indexed="81"/>
      <name val="Segoe UI"/>
      <family val="2"/>
    </font>
    <font>
      <b/>
      <sz val="8"/>
      <color theme="1" tint="0.499984740745262"/>
      <name val="Arial"/>
      <family val="2"/>
    </font>
    <font>
      <b/>
      <sz val="10"/>
      <color rgb="FFFF0000"/>
      <name val="Arial"/>
      <family val="2"/>
    </font>
    <font>
      <b/>
      <sz val="11"/>
      <color indexed="10"/>
      <name val="Calibri"/>
      <family val="2"/>
      <scheme val="minor"/>
    </font>
    <font>
      <sz val="11"/>
      <name val="Calibri"/>
      <family val="2"/>
      <scheme val="minor"/>
    </font>
  </fonts>
  <fills count="26">
    <fill>
      <patternFill patternType="none"/>
    </fill>
    <fill>
      <patternFill patternType="gray125"/>
    </fill>
    <fill>
      <patternFill patternType="solid">
        <fgColor indexed="11"/>
        <bgColor indexed="64"/>
      </patternFill>
    </fill>
    <fill>
      <patternFill patternType="solid">
        <fgColor indexed="47"/>
        <bgColor indexed="64"/>
      </patternFill>
    </fill>
    <fill>
      <patternFill patternType="solid">
        <fgColor indexed="22"/>
        <bgColor indexed="64"/>
      </patternFill>
    </fill>
    <fill>
      <patternFill patternType="solid">
        <fgColor indexed="43"/>
        <bgColor indexed="64"/>
      </patternFill>
    </fill>
    <fill>
      <patternFill patternType="solid">
        <fgColor indexed="41"/>
        <bgColor indexed="64"/>
      </patternFill>
    </fill>
    <fill>
      <patternFill patternType="solid">
        <fgColor indexed="9"/>
        <bgColor indexed="64"/>
      </patternFill>
    </fill>
    <fill>
      <patternFill patternType="solid">
        <fgColor indexed="42"/>
        <bgColor indexed="64"/>
      </patternFill>
    </fill>
    <fill>
      <patternFill patternType="solid">
        <fgColor indexed="44"/>
        <bgColor indexed="64"/>
      </patternFill>
    </fill>
    <fill>
      <patternFill patternType="solid">
        <fgColor indexed="46"/>
        <bgColor indexed="64"/>
      </patternFill>
    </fill>
    <fill>
      <patternFill patternType="solid">
        <fgColor rgb="FF00B050"/>
        <bgColor indexed="64"/>
      </patternFill>
    </fill>
    <fill>
      <patternFill patternType="solid">
        <fgColor rgb="FF98D6F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0000"/>
        <bgColor indexed="64"/>
      </patternFill>
    </fill>
    <fill>
      <patternFill patternType="solid">
        <fgColor rgb="FFBDD7EE"/>
        <bgColor indexed="64"/>
      </patternFill>
    </fill>
    <fill>
      <patternFill patternType="solid">
        <fgColor rgb="FF2F75B5"/>
        <bgColor indexed="64"/>
      </patternFill>
    </fill>
    <fill>
      <patternFill patternType="solid">
        <fgColor theme="7" tint="0.59999389629810485"/>
        <bgColor indexed="64"/>
      </patternFill>
    </fill>
    <fill>
      <patternFill patternType="solid">
        <fgColor theme="0" tint="-0.14999847407452621"/>
        <bgColor indexed="64"/>
      </patternFill>
    </fill>
  </fills>
  <borders count="5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11"/>
      </left>
      <right/>
      <top style="medium">
        <color indexed="11"/>
      </top>
      <bottom style="dotted">
        <color indexed="11"/>
      </bottom>
      <diagonal/>
    </border>
    <border>
      <left/>
      <right/>
      <top style="medium">
        <color indexed="11"/>
      </top>
      <bottom style="dotted">
        <color indexed="11"/>
      </bottom>
      <diagonal/>
    </border>
    <border>
      <left/>
      <right style="medium">
        <color indexed="11"/>
      </right>
      <top style="medium">
        <color indexed="11"/>
      </top>
      <bottom style="dotted">
        <color indexed="11"/>
      </bottom>
      <diagonal/>
    </border>
    <border>
      <left style="medium">
        <color indexed="11"/>
      </left>
      <right/>
      <top style="dotted">
        <color indexed="11"/>
      </top>
      <bottom style="medium">
        <color indexed="11"/>
      </bottom>
      <diagonal/>
    </border>
    <border>
      <left/>
      <right/>
      <top style="dotted">
        <color indexed="11"/>
      </top>
      <bottom style="medium">
        <color indexed="11"/>
      </bottom>
      <diagonal/>
    </border>
    <border>
      <left/>
      <right style="medium">
        <color indexed="11"/>
      </right>
      <top style="dotted">
        <color indexed="11"/>
      </top>
      <bottom style="medium">
        <color indexed="11"/>
      </bottom>
      <diagonal/>
    </border>
    <border>
      <left style="medium">
        <color indexed="11"/>
      </left>
      <right/>
      <top/>
      <bottom style="dotted">
        <color indexed="11"/>
      </bottom>
      <diagonal/>
    </border>
    <border>
      <left/>
      <right/>
      <top/>
      <bottom style="dotted">
        <color indexed="11"/>
      </bottom>
      <diagonal/>
    </border>
    <border>
      <left/>
      <right style="medium">
        <color indexed="11"/>
      </right>
      <top/>
      <bottom style="dotted">
        <color indexed="11"/>
      </bottom>
      <diagonal/>
    </border>
    <border>
      <left style="medium">
        <color indexed="11"/>
      </left>
      <right/>
      <top style="dotted">
        <color indexed="11"/>
      </top>
      <bottom style="thin">
        <color indexed="11"/>
      </bottom>
      <diagonal/>
    </border>
    <border>
      <left/>
      <right/>
      <top style="dotted">
        <color indexed="11"/>
      </top>
      <bottom style="thin">
        <color indexed="11"/>
      </bottom>
      <diagonal/>
    </border>
    <border>
      <left/>
      <right style="medium">
        <color indexed="11"/>
      </right>
      <top style="dotted">
        <color indexed="11"/>
      </top>
      <bottom style="thin">
        <color indexed="1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
      <left style="medium">
        <color indexed="11"/>
      </left>
      <right/>
      <top style="medium">
        <color indexed="11"/>
      </top>
      <bottom style="medium">
        <color indexed="11"/>
      </bottom>
      <diagonal/>
    </border>
    <border>
      <left/>
      <right/>
      <top style="medium">
        <color indexed="11"/>
      </top>
      <bottom style="medium">
        <color indexed="11"/>
      </bottom>
      <diagonal/>
    </border>
    <border>
      <left/>
      <right style="medium">
        <color indexed="11"/>
      </right>
      <top style="medium">
        <color indexed="11"/>
      </top>
      <bottom style="medium">
        <color indexed="11"/>
      </bottom>
      <diagonal/>
    </border>
    <border>
      <left style="thin">
        <color rgb="FF1B9BD7"/>
      </left>
      <right style="thin">
        <color rgb="FF1B9BD7"/>
      </right>
      <top style="thin">
        <color rgb="FF1B9BD7"/>
      </top>
      <bottom style="thin">
        <color rgb="FF1B9BD7"/>
      </bottom>
      <diagonal/>
    </border>
    <border>
      <left/>
      <right style="thin">
        <color rgb="FF1B9BD7"/>
      </right>
      <top style="thin">
        <color rgb="FF1B9BD7"/>
      </top>
      <bottom/>
      <diagonal/>
    </border>
    <border>
      <left/>
      <right style="thin">
        <color rgb="FF1B9BD7"/>
      </right>
      <top/>
      <bottom style="thin">
        <color rgb="FF1B9BD7"/>
      </bottom>
      <diagonal/>
    </border>
    <border>
      <left style="thin">
        <color rgb="FF1B9BD7"/>
      </left>
      <right/>
      <top style="thin">
        <color rgb="FF1B9BD7"/>
      </top>
      <bottom/>
      <diagonal/>
    </border>
    <border>
      <left/>
      <right/>
      <top style="thin">
        <color rgb="FF1B9BD7"/>
      </top>
      <bottom/>
      <diagonal/>
    </border>
    <border>
      <left style="thin">
        <color rgb="FF1B9BD7"/>
      </left>
      <right/>
      <top/>
      <bottom style="thin">
        <color rgb="FF1B9BD7"/>
      </bottom>
      <diagonal/>
    </border>
    <border>
      <left/>
      <right/>
      <top/>
      <bottom style="thin">
        <color rgb="FF1B9BD7"/>
      </bottom>
      <diagonal/>
    </border>
    <border>
      <left style="thin">
        <color rgb="FF1B9BD7"/>
      </left>
      <right/>
      <top/>
      <bottom style="dotted">
        <color rgb="FF1B9BD7"/>
      </bottom>
      <diagonal/>
    </border>
    <border>
      <left/>
      <right/>
      <top/>
      <bottom style="dotted">
        <color rgb="FF1B9BD7"/>
      </bottom>
      <diagonal/>
    </border>
    <border>
      <left/>
      <right style="thin">
        <color rgb="FF1B9BD7"/>
      </right>
      <top/>
      <bottom style="dotted">
        <color rgb="FF1B9BD7"/>
      </bottom>
      <diagonal/>
    </border>
    <border>
      <left/>
      <right style="thin">
        <color rgb="FF1B9BD7"/>
      </right>
      <top style="thin">
        <color rgb="FF1B9BD7"/>
      </top>
      <bottom style="dotted">
        <color rgb="FF1B9BD7"/>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thin">
        <color rgb="FF1B9BD7"/>
      </left>
      <right style="thin">
        <color rgb="FF1B9BD7"/>
      </right>
      <top style="thin">
        <color rgb="FF1B9BD7"/>
      </top>
      <bottom/>
      <diagonal/>
    </border>
    <border>
      <left/>
      <right/>
      <top style="dotted">
        <color rgb="FF1B9BD7"/>
      </top>
      <bottom style="thin">
        <color rgb="FF1B9BD7"/>
      </bottom>
      <diagonal/>
    </border>
    <border>
      <left style="thin">
        <color rgb="FF1B9BD7"/>
      </left>
      <right/>
      <top style="dotted">
        <color rgb="FF1B9BD7"/>
      </top>
      <bottom style="thin">
        <color rgb="FF1B9BD7"/>
      </bottom>
      <diagonal/>
    </border>
    <border>
      <left/>
      <right style="thin">
        <color rgb="FF1B9BD7"/>
      </right>
      <top style="dotted">
        <color rgb="FF1B9BD7"/>
      </top>
      <bottom style="thin">
        <color rgb="FF1B9BD7"/>
      </bottom>
      <diagonal/>
    </border>
    <border>
      <left/>
      <right/>
      <top style="mediumDashed">
        <color indexed="64"/>
      </top>
      <bottom style="mediumDashed">
        <color indexed="64"/>
      </bottom>
      <diagonal/>
    </border>
    <border>
      <left style="thin">
        <color indexed="64"/>
      </left>
      <right style="mediumDashed">
        <color indexed="64"/>
      </right>
      <top style="mediumDashed">
        <color indexed="64"/>
      </top>
      <bottom style="mediumDashed">
        <color indexed="64"/>
      </bottom>
      <diagonal/>
    </border>
    <border>
      <left style="mediumDashed">
        <color indexed="64"/>
      </left>
      <right/>
      <top style="mediumDashed">
        <color indexed="64"/>
      </top>
      <bottom style="mediumDashed">
        <color indexed="64"/>
      </bottom>
      <diagonal/>
    </border>
    <border>
      <left/>
      <right style="mediumDashed">
        <color indexed="64"/>
      </right>
      <top style="mediumDashed">
        <color indexed="64"/>
      </top>
      <bottom style="mediumDashed">
        <color indexed="64"/>
      </bottom>
      <diagonal/>
    </border>
  </borders>
  <cellStyleXfs count="3">
    <xf numFmtId="0" fontId="0" fillId="0" borderId="0"/>
    <xf numFmtId="0" fontId="4" fillId="0" borderId="0" applyNumberFormat="0" applyFill="0" applyBorder="0" applyAlignment="0" applyProtection="0">
      <alignment vertical="top"/>
      <protection locked="0"/>
    </xf>
    <xf numFmtId="0" fontId="6" fillId="0" borderId="0"/>
  </cellStyleXfs>
  <cellXfs count="226">
    <xf numFmtId="0" fontId="0" fillId="0" borderId="0" xfId="0"/>
    <xf numFmtId="0" fontId="0" fillId="2" borderId="0" xfId="0" applyFill="1"/>
    <xf numFmtId="0" fontId="0" fillId="0" borderId="0" xfId="0" applyAlignment="1">
      <alignment horizontal="center"/>
    </xf>
    <xf numFmtId="0" fontId="3" fillId="0" borderId="0" xfId="0" applyFont="1"/>
    <xf numFmtId="0" fontId="0" fillId="0" borderId="0" xfId="0" applyAlignment="1">
      <alignment horizontal="left"/>
    </xf>
    <xf numFmtId="0" fontId="0" fillId="0" borderId="1" xfId="0" applyBorder="1" applyAlignment="1">
      <alignment horizontal="center"/>
    </xf>
    <xf numFmtId="0" fontId="0" fillId="0" borderId="2" xfId="0" applyBorder="1"/>
    <xf numFmtId="0" fontId="0" fillId="0" borderId="3" xfId="0" applyBorder="1"/>
    <xf numFmtId="0" fontId="0" fillId="0" borderId="4" xfId="0" applyBorder="1"/>
    <xf numFmtId="0" fontId="0" fillId="3" borderId="0" xfId="0" applyFill="1"/>
    <xf numFmtId="0" fontId="0" fillId="4" borderId="5" xfId="0" applyFill="1" applyBorder="1"/>
    <xf numFmtId="0" fontId="0" fillId="0" borderId="4" xfId="0" applyBorder="1" applyAlignment="1">
      <alignment horizontal="center"/>
    </xf>
    <xf numFmtId="0" fontId="0" fillId="0" borderId="5" xfId="0" applyBorder="1"/>
    <xf numFmtId="0" fontId="0" fillId="0" borderId="6" xfId="0" applyBorder="1" applyAlignment="1">
      <alignment horizontal="center"/>
    </xf>
    <xf numFmtId="0" fontId="0" fillId="0" borderId="7" xfId="0" applyBorder="1"/>
    <xf numFmtId="0" fontId="0" fillId="0" borderId="8" xfId="0" applyBorder="1"/>
    <xf numFmtId="0" fontId="0" fillId="3" borderId="5" xfId="0" applyFill="1" applyBorder="1"/>
    <xf numFmtId="0" fontId="0" fillId="5" borderId="0" xfId="0" applyFill="1"/>
    <xf numFmtId="0" fontId="0" fillId="6" borderId="0" xfId="0" applyFill="1"/>
    <xf numFmtId="0" fontId="0" fillId="4" borderId="0" xfId="0" applyFill="1"/>
    <xf numFmtId="0" fontId="0" fillId="7" borderId="1" xfId="0" applyFill="1" applyBorder="1"/>
    <xf numFmtId="0" fontId="0" fillId="7" borderId="2" xfId="0" applyFill="1" applyBorder="1"/>
    <xf numFmtId="0" fontId="0" fillId="7" borderId="3" xfId="0" applyFill="1" applyBorder="1"/>
    <xf numFmtId="0" fontId="0" fillId="7" borderId="4" xfId="0" applyFill="1" applyBorder="1"/>
    <xf numFmtId="0" fontId="4" fillId="7" borderId="0" xfId="1" applyFill="1" applyBorder="1" applyAlignment="1" applyProtection="1"/>
    <xf numFmtId="0" fontId="0" fillId="7" borderId="0" xfId="0" applyFill="1"/>
    <xf numFmtId="0" fontId="0" fillId="7" borderId="0" xfId="0" applyFill="1" applyAlignment="1">
      <alignment horizontal="right"/>
    </xf>
    <xf numFmtId="0" fontId="0" fillId="7" borderId="5" xfId="0" applyFill="1" applyBorder="1"/>
    <xf numFmtId="14" fontId="0" fillId="7" borderId="0" xfId="0" applyNumberFormat="1" applyFill="1" applyAlignment="1">
      <alignment horizontal="left"/>
    </xf>
    <xf numFmtId="0" fontId="0" fillId="7" borderId="6" xfId="0" applyFill="1" applyBorder="1"/>
    <xf numFmtId="0" fontId="0" fillId="7" borderId="7" xfId="0" applyFill="1" applyBorder="1"/>
    <xf numFmtId="0" fontId="0" fillId="7" borderId="8" xfId="0" applyFill="1" applyBorder="1"/>
    <xf numFmtId="0" fontId="3" fillId="7" borderId="4" xfId="0" applyFont="1" applyFill="1" applyBorder="1"/>
    <xf numFmtId="49" fontId="0" fillId="0" borderId="0" xfId="0" applyNumberFormat="1"/>
    <xf numFmtId="49" fontId="0" fillId="0" borderId="7" xfId="0" applyNumberFormat="1" applyBorder="1"/>
    <xf numFmtId="0" fontId="0" fillId="0" borderId="7" xfId="0" applyBorder="1" applyAlignment="1">
      <alignment horizontal="left"/>
    </xf>
    <xf numFmtId="0" fontId="5" fillId="0" borderId="0" xfId="0" applyFont="1"/>
    <xf numFmtId="0" fontId="0" fillId="0" borderId="21" xfId="0" applyBorder="1"/>
    <xf numFmtId="0" fontId="0" fillId="0" borderId="22" xfId="0" applyBorder="1"/>
    <xf numFmtId="0" fontId="0" fillId="0" borderId="23" xfId="0" applyBorder="1"/>
    <xf numFmtId="0" fontId="0" fillId="0" borderId="23" xfId="0" applyBorder="1" applyAlignment="1">
      <alignment horizontal="right"/>
    </xf>
    <xf numFmtId="0" fontId="0" fillId="0" borderId="24" xfId="0" applyBorder="1"/>
    <xf numFmtId="0" fontId="0" fillId="0" borderId="5" xfId="0" applyBorder="1" applyAlignment="1">
      <alignment horizontal="left"/>
    </xf>
    <xf numFmtId="0" fontId="3" fillId="0" borderId="25" xfId="0" applyFont="1" applyBorder="1"/>
    <xf numFmtId="0" fontId="6" fillId="0" borderId="0" xfId="0" applyFont="1" applyAlignment="1">
      <alignment horizontal="left"/>
    </xf>
    <xf numFmtId="14" fontId="0" fillId="0" borderId="0" xfId="0" applyNumberFormat="1"/>
    <xf numFmtId="0" fontId="9" fillId="0" borderId="0" xfId="0" applyFont="1"/>
    <xf numFmtId="1" fontId="0" fillId="0" borderId="0" xfId="0" applyNumberFormat="1"/>
    <xf numFmtId="0" fontId="11" fillId="0" borderId="0" xfId="0" applyFont="1" applyAlignment="1">
      <alignment horizontal="right"/>
    </xf>
    <xf numFmtId="165" fontId="0" fillId="5" borderId="0" xfId="0" applyNumberFormat="1" applyFill="1"/>
    <xf numFmtId="22" fontId="0" fillId="0" borderId="0" xfId="0" applyNumberFormat="1"/>
    <xf numFmtId="165" fontId="0" fillId="0" borderId="0" xfId="0" applyNumberFormat="1"/>
    <xf numFmtId="165" fontId="0" fillId="8" borderId="0" xfId="0" applyNumberFormat="1" applyFill="1"/>
    <xf numFmtId="165" fontId="0" fillId="9" borderId="0" xfId="0" applyNumberFormat="1" applyFill="1"/>
    <xf numFmtId="165" fontId="0" fillId="10" borderId="0" xfId="0" applyNumberFormat="1" applyFill="1"/>
    <xf numFmtId="0" fontId="0" fillId="0" borderId="1" xfId="0" applyBorder="1"/>
    <xf numFmtId="164" fontId="0" fillId="0" borderId="0" xfId="0" applyNumberFormat="1"/>
    <xf numFmtId="0" fontId="0" fillId="0" borderId="6" xfId="0" applyBorder="1"/>
    <xf numFmtId="0" fontId="6" fillId="0" borderId="0" xfId="0" applyFont="1" applyAlignment="1">
      <alignment horizontal="center"/>
    </xf>
    <xf numFmtId="0" fontId="12" fillId="2" borderId="0" xfId="0" applyFont="1" applyFill="1"/>
    <xf numFmtId="0" fontId="13" fillId="2" borderId="0" xfId="0" applyFont="1" applyFill="1" applyAlignment="1">
      <alignment horizontal="center"/>
    </xf>
    <xf numFmtId="0" fontId="13" fillId="0" borderId="0" xfId="0" applyFont="1" applyAlignment="1">
      <alignment horizontal="center"/>
    </xf>
    <xf numFmtId="0" fontId="12" fillId="0" borderId="0" xfId="0" applyFont="1"/>
    <xf numFmtId="0" fontId="14" fillId="0" borderId="0" xfId="0" applyFont="1"/>
    <xf numFmtId="0" fontId="15" fillId="0" borderId="0" xfId="0" applyFont="1" applyAlignment="1">
      <alignment horizontal="right"/>
    </xf>
    <xf numFmtId="0" fontId="12" fillId="0" borderId="0" xfId="0" applyFont="1" applyAlignment="1">
      <alignment horizontal="left"/>
    </xf>
    <xf numFmtId="0" fontId="16" fillId="0" borderId="0" xfId="0" applyFont="1"/>
    <xf numFmtId="0" fontId="13" fillId="2" borderId="26" xfId="0" applyFont="1" applyFill="1" applyBorder="1" applyAlignment="1">
      <alignment horizontal="left"/>
    </xf>
    <xf numFmtId="0" fontId="13" fillId="2" borderId="27" xfId="0" applyFont="1" applyFill="1" applyBorder="1" applyAlignment="1">
      <alignment horizontal="left"/>
    </xf>
    <xf numFmtId="0" fontId="13" fillId="2" borderId="27" xfId="0" applyFont="1" applyFill="1" applyBorder="1" applyAlignment="1">
      <alignment horizontal="center"/>
    </xf>
    <xf numFmtId="0" fontId="12" fillId="2" borderId="27" xfId="0" applyFont="1" applyFill="1" applyBorder="1"/>
    <xf numFmtId="0" fontId="12" fillId="0" borderId="9" xfId="0" applyFont="1" applyBorder="1"/>
    <xf numFmtId="0" fontId="12" fillId="0" borderId="10" xfId="0" applyFont="1" applyBorder="1"/>
    <xf numFmtId="0" fontId="12" fillId="0" borderId="10" xfId="0" applyFont="1" applyBorder="1" applyAlignment="1">
      <alignment horizontal="center"/>
    </xf>
    <xf numFmtId="0" fontId="12" fillId="0" borderId="18" xfId="0" applyFont="1" applyBorder="1"/>
    <xf numFmtId="0" fontId="12" fillId="0" borderId="19" xfId="0" applyFont="1" applyBorder="1"/>
    <xf numFmtId="0" fontId="12" fillId="0" borderId="19" xfId="0" applyFont="1" applyBorder="1" applyAlignment="1">
      <alignment horizontal="center"/>
    </xf>
    <xf numFmtId="0" fontId="12" fillId="0" borderId="15" xfId="0" applyFont="1" applyBorder="1"/>
    <xf numFmtId="0" fontId="12" fillId="0" borderId="16" xfId="0" applyFont="1" applyBorder="1"/>
    <xf numFmtId="0" fontId="12" fillId="0" borderId="16" xfId="0" applyFont="1" applyBorder="1" applyAlignment="1">
      <alignment horizontal="center"/>
    </xf>
    <xf numFmtId="0" fontId="12" fillId="0" borderId="12" xfId="0" applyFont="1" applyBorder="1"/>
    <xf numFmtId="0" fontId="12" fillId="0" borderId="13" xfId="0" applyFont="1" applyBorder="1"/>
    <xf numFmtId="0" fontId="12" fillId="0" borderId="13" xfId="0" applyFont="1" applyBorder="1" applyAlignment="1">
      <alignment horizontal="center"/>
    </xf>
    <xf numFmtId="0" fontId="6" fillId="0" borderId="0" xfId="0" applyFont="1"/>
    <xf numFmtId="0" fontId="6" fillId="11" borderId="1" xfId="0" applyFont="1" applyFill="1" applyBorder="1" applyAlignment="1">
      <alignment horizontal="center"/>
    </xf>
    <xf numFmtId="0" fontId="0" fillId="11" borderId="1" xfId="0" applyFill="1" applyBorder="1" applyAlignment="1">
      <alignment horizontal="center"/>
    </xf>
    <xf numFmtId="0" fontId="18" fillId="0" borderId="0" xfId="0" applyFont="1"/>
    <xf numFmtId="0" fontId="17" fillId="0" borderId="0" xfId="0" applyFont="1"/>
    <xf numFmtId="49" fontId="6" fillId="7" borderId="0" xfId="0" applyNumberFormat="1" applyFont="1" applyFill="1" applyAlignment="1">
      <alignment horizontal="left"/>
    </xf>
    <xf numFmtId="0" fontId="0" fillId="0" borderId="32" xfId="0" applyBorder="1"/>
    <xf numFmtId="0" fontId="0" fillId="0" borderId="33" xfId="0" applyBorder="1"/>
    <xf numFmtId="0" fontId="0" fillId="0" borderId="33" xfId="0" applyBorder="1" applyAlignment="1">
      <alignment horizontal="center"/>
    </xf>
    <xf numFmtId="0" fontId="0" fillId="0" borderId="33" xfId="0" applyBorder="1" applyAlignment="1">
      <alignment horizontal="left"/>
    </xf>
    <xf numFmtId="0" fontId="0" fillId="0" borderId="30" xfId="0" applyBorder="1" applyAlignment="1">
      <alignment horizontal="left"/>
    </xf>
    <xf numFmtId="0" fontId="0" fillId="0" borderId="34" xfId="0" applyBorder="1"/>
    <xf numFmtId="0" fontId="0" fillId="0" borderId="35" xfId="0" applyBorder="1"/>
    <xf numFmtId="0" fontId="0" fillId="0" borderId="35" xfId="0" applyBorder="1" applyAlignment="1">
      <alignment horizontal="center"/>
    </xf>
    <xf numFmtId="0" fontId="0" fillId="0" borderId="35" xfId="0" applyBorder="1" applyAlignment="1">
      <alignment horizontal="left"/>
    </xf>
    <xf numFmtId="0" fontId="0" fillId="0" borderId="31" xfId="0" applyBorder="1" applyAlignment="1">
      <alignment horizontal="left"/>
    </xf>
    <xf numFmtId="0" fontId="0" fillId="0" borderId="36" xfId="0" applyBorder="1"/>
    <xf numFmtId="0" fontId="0" fillId="0" borderId="37" xfId="0" applyBorder="1"/>
    <xf numFmtId="0" fontId="0" fillId="0" borderId="37" xfId="0" applyBorder="1" applyAlignment="1">
      <alignment horizontal="center"/>
    </xf>
    <xf numFmtId="0" fontId="0" fillId="0" borderId="37" xfId="0" applyBorder="1" applyAlignment="1">
      <alignment horizontal="left"/>
    </xf>
    <xf numFmtId="0" fontId="0" fillId="0" borderId="38" xfId="0" applyBorder="1" applyAlignment="1">
      <alignment horizontal="left"/>
    </xf>
    <xf numFmtId="0" fontId="0" fillId="0" borderId="39" xfId="0" applyBorder="1" applyAlignment="1">
      <alignment horizontal="left"/>
    </xf>
    <xf numFmtId="0" fontId="0" fillId="0" borderId="40" xfId="0" applyBorder="1" applyAlignment="1">
      <alignment horizontal="center"/>
    </xf>
    <xf numFmtId="0" fontId="0" fillId="0" borderId="43" xfId="0" applyBorder="1"/>
    <xf numFmtId="0" fontId="0" fillId="3" borderId="44" xfId="0" applyFill="1" applyBorder="1"/>
    <xf numFmtId="0" fontId="0" fillId="0" borderId="43" xfId="0" applyBorder="1" applyAlignment="1">
      <alignment horizontal="center"/>
    </xf>
    <xf numFmtId="0" fontId="0" fillId="0" borderId="44" xfId="0" applyBorder="1"/>
    <xf numFmtId="0" fontId="0" fillId="0" borderId="45" xfId="0" applyBorder="1" applyAlignment="1">
      <alignment horizontal="center"/>
    </xf>
    <xf numFmtId="0" fontId="0" fillId="0" borderId="46" xfId="0" applyBorder="1"/>
    <xf numFmtId="0" fontId="0" fillId="0" borderId="47" xfId="0" applyBorder="1"/>
    <xf numFmtId="0" fontId="6" fillId="7" borderId="4" xfId="0" applyFont="1" applyFill="1" applyBorder="1"/>
    <xf numFmtId="0" fontId="0" fillId="7" borderId="0" xfId="0" applyFill="1" applyAlignment="1">
      <alignment wrapText="1"/>
    </xf>
    <xf numFmtId="0" fontId="0" fillId="7" borderId="4" xfId="0" applyFill="1" applyBorder="1" applyAlignment="1">
      <alignment wrapText="1"/>
    </xf>
    <xf numFmtId="0" fontId="19" fillId="0" borderId="0" xfId="0" applyFont="1"/>
    <xf numFmtId="0" fontId="3" fillId="0" borderId="0" xfId="0" applyFont="1" applyAlignment="1">
      <alignment horizontal="center"/>
    </xf>
    <xf numFmtId="0" fontId="6" fillId="0" borderId="0" xfId="0" quotePrefix="1" applyFont="1"/>
    <xf numFmtId="0" fontId="0" fillId="13" borderId="1" xfId="0" applyFill="1" applyBorder="1"/>
    <xf numFmtId="0" fontId="0" fillId="13" borderId="2" xfId="0" applyFill="1" applyBorder="1"/>
    <xf numFmtId="0" fontId="0" fillId="13" borderId="3" xfId="0" applyFill="1" applyBorder="1"/>
    <xf numFmtId="0" fontId="0" fillId="13" borderId="0" xfId="0" applyFill="1"/>
    <xf numFmtId="0" fontId="0" fillId="13" borderId="4" xfId="0" applyFill="1" applyBorder="1"/>
    <xf numFmtId="0" fontId="0" fillId="13" borderId="6" xfId="0" applyFill="1" applyBorder="1"/>
    <xf numFmtId="0" fontId="0" fillId="13" borderId="7" xfId="0" applyFill="1" applyBorder="1"/>
    <xf numFmtId="0" fontId="6" fillId="13" borderId="0" xfId="0" applyFont="1" applyFill="1"/>
    <xf numFmtId="0" fontId="0" fillId="14" borderId="0" xfId="0" applyFill="1"/>
    <xf numFmtId="0" fontId="0" fillId="14" borderId="5" xfId="0" applyFill="1" applyBorder="1"/>
    <xf numFmtId="0" fontId="0" fillId="15" borderId="0" xfId="0" applyFill="1"/>
    <xf numFmtId="0" fontId="0" fillId="15" borderId="5" xfId="0" applyFill="1" applyBorder="1"/>
    <xf numFmtId="0" fontId="0" fillId="16" borderId="0" xfId="0" applyFill="1"/>
    <xf numFmtId="0" fontId="0" fillId="16" borderId="5" xfId="0" applyFill="1" applyBorder="1"/>
    <xf numFmtId="0" fontId="0" fillId="16" borderId="8" xfId="0" applyFill="1" applyBorder="1"/>
    <xf numFmtId="0" fontId="0" fillId="17" borderId="0" xfId="0" applyFill="1"/>
    <xf numFmtId="0" fontId="0" fillId="17" borderId="7" xfId="0" applyFill="1" applyBorder="1"/>
    <xf numFmtId="0" fontId="0" fillId="18" borderId="0" xfId="0" applyFill="1"/>
    <xf numFmtId="0" fontId="0" fillId="18" borderId="7" xfId="0" applyFill="1" applyBorder="1"/>
    <xf numFmtId="0" fontId="0" fillId="12" borderId="0" xfId="0" applyFill="1"/>
    <xf numFmtId="0" fontId="0" fillId="12" borderId="7" xfId="0" applyFill="1" applyBorder="1"/>
    <xf numFmtId="0" fontId="0" fillId="13" borderId="25" xfId="0" applyFill="1" applyBorder="1"/>
    <xf numFmtId="0" fontId="22" fillId="0" borderId="0" xfId="0" applyFont="1"/>
    <xf numFmtId="0" fontId="18" fillId="20" borderId="0" xfId="0" applyFont="1" applyFill="1"/>
    <xf numFmtId="0" fontId="6" fillId="20" borderId="0" xfId="0" applyFont="1" applyFill="1"/>
    <xf numFmtId="0" fontId="6" fillId="21" borderId="0" xfId="0" applyFont="1" applyFill="1"/>
    <xf numFmtId="0" fontId="0" fillId="21" borderId="0" xfId="0" applyFill="1"/>
    <xf numFmtId="0" fontId="0" fillId="22" borderId="21" xfId="0" applyFill="1" applyBorder="1" applyAlignment="1" applyProtection="1">
      <alignment horizontal="center"/>
      <protection locked="0"/>
    </xf>
    <xf numFmtId="0" fontId="0" fillId="23" borderId="0" xfId="0" applyFill="1"/>
    <xf numFmtId="0" fontId="2" fillId="23" borderId="0" xfId="0" applyFont="1" applyFill="1" applyAlignment="1">
      <alignment horizontal="center"/>
    </xf>
    <xf numFmtId="0" fontId="2" fillId="23" borderId="0" xfId="0" applyFont="1" applyFill="1" applyAlignment="1">
      <alignment horizontal="left"/>
    </xf>
    <xf numFmtId="0" fontId="2" fillId="23" borderId="32" xfId="0" applyFont="1" applyFill="1" applyBorder="1" applyAlignment="1">
      <alignment horizontal="left"/>
    </xf>
    <xf numFmtId="0" fontId="2" fillId="23" borderId="33" xfId="0" applyFont="1" applyFill="1" applyBorder="1" applyAlignment="1">
      <alignment horizontal="left"/>
    </xf>
    <xf numFmtId="0" fontId="2" fillId="23" borderId="33" xfId="0" applyFont="1" applyFill="1" applyBorder="1" applyAlignment="1">
      <alignment horizontal="center"/>
    </xf>
    <xf numFmtId="0" fontId="0" fillId="23" borderId="33" xfId="0" applyFill="1" applyBorder="1"/>
    <xf numFmtId="0" fontId="0" fillId="23" borderId="33" xfId="0" applyFill="1" applyBorder="1" applyAlignment="1">
      <alignment horizontal="left"/>
    </xf>
    <xf numFmtId="0" fontId="2" fillId="23" borderId="30" xfId="0" applyFont="1" applyFill="1" applyBorder="1" applyAlignment="1">
      <alignment horizontal="center"/>
    </xf>
    <xf numFmtId="0" fontId="2" fillId="23" borderId="0" xfId="0" applyFont="1" applyFill="1" applyAlignment="1" applyProtection="1">
      <alignment horizontal="center"/>
      <protection locked="0"/>
    </xf>
    <xf numFmtId="0" fontId="2" fillId="23" borderId="0" xfId="0" applyFont="1" applyFill="1"/>
    <xf numFmtId="0" fontId="0" fillId="0" borderId="50" xfId="0" applyBorder="1"/>
    <xf numFmtId="0" fontId="0" fillId="0" borderId="49" xfId="0" applyBorder="1"/>
    <xf numFmtId="0" fontId="0" fillId="0" borderId="49" xfId="0" applyBorder="1" applyAlignment="1">
      <alignment horizontal="center"/>
    </xf>
    <xf numFmtId="0" fontId="0" fillId="0" borderId="49" xfId="0" applyBorder="1" applyAlignment="1">
      <alignment horizontal="left"/>
    </xf>
    <xf numFmtId="0" fontId="0" fillId="0" borderId="51" xfId="0" applyBorder="1" applyAlignment="1">
      <alignment horizontal="left"/>
    </xf>
    <xf numFmtId="0" fontId="3" fillId="24" borderId="52" xfId="0" applyFont="1" applyFill="1" applyBorder="1"/>
    <xf numFmtId="0" fontId="3" fillId="22" borderId="53" xfId="0" applyFont="1" applyFill="1" applyBorder="1" applyAlignment="1" applyProtection="1">
      <alignment horizontal="center"/>
      <protection locked="0"/>
    </xf>
    <xf numFmtId="0" fontId="3" fillId="24" borderId="54" xfId="0" applyFont="1" applyFill="1" applyBorder="1"/>
    <xf numFmtId="49" fontId="3" fillId="24" borderId="54" xfId="0" applyNumberFormat="1" applyFont="1" applyFill="1" applyBorder="1"/>
    <xf numFmtId="49" fontId="3" fillId="24" borderId="52" xfId="0" applyNumberFormat="1" applyFont="1" applyFill="1" applyBorder="1"/>
    <xf numFmtId="0" fontId="3" fillId="24" borderId="52" xfId="0" applyFont="1" applyFill="1" applyBorder="1" applyAlignment="1">
      <alignment horizontal="left"/>
    </xf>
    <xf numFmtId="0" fontId="3" fillId="24" borderId="55" xfId="0" applyFont="1" applyFill="1" applyBorder="1"/>
    <xf numFmtId="0" fontId="0" fillId="11" borderId="0" xfId="0" applyFill="1"/>
    <xf numFmtId="0" fontId="0" fillId="11" borderId="7" xfId="0" applyFill="1" applyBorder="1"/>
    <xf numFmtId="22" fontId="0" fillId="22" borderId="0" xfId="0" applyNumberFormat="1" applyFill="1" applyAlignment="1">
      <alignment horizontal="left"/>
    </xf>
    <xf numFmtId="0" fontId="6" fillId="22" borderId="0" xfId="0" applyFont="1" applyFill="1"/>
    <xf numFmtId="0" fontId="0" fillId="22" borderId="0" xfId="0" applyFill="1"/>
    <xf numFmtId="22" fontId="0" fillId="0" borderId="0" xfId="0" applyNumberFormat="1" applyAlignment="1">
      <alignment horizontal="left"/>
    </xf>
    <xf numFmtId="22" fontId="6" fillId="22" borderId="0" xfId="0" applyNumberFormat="1" applyFont="1" applyFill="1"/>
    <xf numFmtId="22" fontId="6" fillId="0" borderId="0" xfId="0" applyNumberFormat="1" applyFont="1" applyAlignment="1">
      <alignment horizontal="left"/>
    </xf>
    <xf numFmtId="0" fontId="12" fillId="8" borderId="0" xfId="0" applyFont="1" applyFill="1"/>
    <xf numFmtId="0" fontId="12" fillId="0" borderId="0" xfId="0" applyFont="1" applyAlignment="1">
      <alignment horizontal="center"/>
    </xf>
    <xf numFmtId="0" fontId="12" fillId="8" borderId="0" xfId="0" applyFont="1" applyFill="1" applyAlignment="1">
      <alignment horizontal="left"/>
    </xf>
    <xf numFmtId="0" fontId="12" fillId="2" borderId="27" xfId="0" applyFont="1" applyFill="1" applyBorder="1" applyAlignment="1">
      <alignment horizontal="left"/>
    </xf>
    <xf numFmtId="0" fontId="13" fillId="2" borderId="28" xfId="0" applyFont="1" applyFill="1" applyBorder="1" applyAlignment="1">
      <alignment horizontal="center"/>
    </xf>
    <xf numFmtId="0" fontId="12" fillId="0" borderId="10" xfId="0" applyFont="1" applyBorder="1" applyAlignment="1">
      <alignment horizontal="left"/>
    </xf>
    <xf numFmtId="0" fontId="12" fillId="0" borderId="11" xfId="0" applyFont="1" applyBorder="1" applyAlignment="1">
      <alignment horizontal="left"/>
    </xf>
    <xf numFmtId="0" fontId="12" fillId="0" borderId="19" xfId="0" applyFont="1" applyBorder="1" applyAlignment="1">
      <alignment horizontal="left"/>
    </xf>
    <xf numFmtId="0" fontId="12" fillId="0" borderId="20" xfId="0" applyFont="1" applyBorder="1" applyAlignment="1">
      <alignment horizontal="left"/>
    </xf>
    <xf numFmtId="0" fontId="12" fillId="0" borderId="16" xfId="0" applyFont="1" applyBorder="1" applyAlignment="1">
      <alignment horizontal="left"/>
    </xf>
    <xf numFmtId="0" fontId="12" fillId="0" borderId="17" xfId="0" applyFont="1" applyBorder="1" applyAlignment="1">
      <alignment horizontal="left"/>
    </xf>
    <xf numFmtId="0" fontId="12" fillId="0" borderId="13" xfId="0" applyFont="1" applyBorder="1" applyAlignment="1">
      <alignment horizontal="left"/>
    </xf>
    <xf numFmtId="0" fontId="12" fillId="0" borderId="14" xfId="0" applyFont="1" applyBorder="1" applyAlignment="1">
      <alignment horizontal="left"/>
    </xf>
    <xf numFmtId="0" fontId="4" fillId="0" borderId="0" xfId="1" applyAlignment="1" applyProtection="1"/>
    <xf numFmtId="0" fontId="23" fillId="0" borderId="0" xfId="0" applyFont="1"/>
    <xf numFmtId="0" fontId="6" fillId="14" borderId="0" xfId="2" applyFill="1"/>
    <xf numFmtId="0" fontId="0" fillId="22" borderId="0" xfId="0" applyFill="1" applyAlignment="1" applyProtection="1">
      <alignment horizontal="center"/>
      <protection locked="0"/>
    </xf>
    <xf numFmtId="0" fontId="0" fillId="25" borderId="0" xfId="0" applyFill="1" applyAlignment="1" applyProtection="1">
      <alignment horizontal="center"/>
      <protection locked="0"/>
    </xf>
    <xf numFmtId="0" fontId="6" fillId="19" borderId="0" xfId="0" applyFont="1" applyFill="1" applyAlignment="1" applyProtection="1">
      <alignment horizontal="center"/>
      <protection locked="0"/>
    </xf>
    <xf numFmtId="0" fontId="9" fillId="0" borderId="0" xfId="0" applyFont="1" applyAlignment="1">
      <alignment horizontal="center"/>
    </xf>
    <xf numFmtId="0" fontId="10" fillId="0" borderId="0" xfId="0" applyFont="1"/>
    <xf numFmtId="0" fontId="24" fillId="0" borderId="0" xfId="0" applyFont="1"/>
    <xf numFmtId="0" fontId="25" fillId="0" borderId="0" xfId="0" applyFont="1"/>
    <xf numFmtId="0" fontId="25" fillId="0" borderId="0" xfId="0" applyFont="1" applyAlignment="1">
      <alignment horizontal="left" vertical="top" wrapText="1"/>
    </xf>
    <xf numFmtId="0" fontId="0" fillId="25" borderId="29" xfId="0" applyFill="1" applyBorder="1" applyProtection="1">
      <protection locked="0"/>
    </xf>
    <xf numFmtId="0" fontId="0" fillId="25" borderId="48" xfId="0" applyFill="1" applyBorder="1" applyProtection="1">
      <protection locked="0"/>
    </xf>
    <xf numFmtId="0" fontId="0" fillId="3" borderId="41" xfId="0" applyFill="1" applyBorder="1" applyAlignment="1">
      <alignment horizontal="center"/>
    </xf>
    <xf numFmtId="0" fontId="0" fillId="3" borderId="42" xfId="0" applyFill="1" applyBorder="1" applyAlignment="1">
      <alignment horizontal="center"/>
    </xf>
    <xf numFmtId="0" fontId="0" fillId="6" borderId="0" xfId="0" applyFill="1" applyAlignment="1">
      <alignment horizontal="center"/>
    </xf>
    <xf numFmtId="0" fontId="0" fillId="5" borderId="0" xfId="0" applyFill="1" applyAlignment="1">
      <alignment horizontal="center"/>
    </xf>
    <xf numFmtId="0" fontId="0" fillId="9" borderId="0" xfId="0" applyFill="1" applyAlignment="1">
      <alignment horizontal="center"/>
    </xf>
    <xf numFmtId="0" fontId="0" fillId="3" borderId="2" xfId="0" applyFill="1" applyBorder="1" applyAlignment="1">
      <alignment horizontal="center"/>
    </xf>
    <xf numFmtId="0" fontId="0" fillId="3" borderId="3" xfId="0" applyFill="1" applyBorder="1" applyAlignment="1">
      <alignment horizontal="center"/>
    </xf>
    <xf numFmtId="0" fontId="6" fillId="0" borderId="0" xfId="0" applyFont="1" applyAlignment="1">
      <alignment horizontal="left"/>
    </xf>
    <xf numFmtId="0" fontId="0" fillId="0" borderId="0" xfId="0"/>
    <xf numFmtId="0" fontId="6" fillId="25" borderId="7" xfId="0" applyFont="1" applyFill="1" applyBorder="1" applyProtection="1">
      <protection locked="0"/>
    </xf>
    <xf numFmtId="0" fontId="0" fillId="25" borderId="7" xfId="0" applyFill="1" applyBorder="1" applyProtection="1">
      <protection locked="0"/>
    </xf>
    <xf numFmtId="49" fontId="0" fillId="0" borderId="0" xfId="0" applyNumberFormat="1" applyAlignment="1">
      <alignment wrapText="1"/>
    </xf>
    <xf numFmtId="0" fontId="0" fillId="0" borderId="0" xfId="0" applyAlignment="1">
      <alignment wrapText="1"/>
    </xf>
    <xf numFmtId="0" fontId="6" fillId="7" borderId="0" xfId="0" applyFont="1" applyFill="1" applyAlignment="1">
      <alignment wrapText="1"/>
    </xf>
    <xf numFmtId="0" fontId="6" fillId="0" borderId="0" xfId="0" applyFont="1"/>
    <xf numFmtId="0" fontId="6" fillId="0" borderId="0" xfId="0" applyFont="1" applyAlignment="1">
      <alignment wrapText="1"/>
    </xf>
    <xf numFmtId="0" fontId="3" fillId="22" borderId="22" xfId="0" applyFont="1" applyFill="1" applyBorder="1" applyAlignment="1" applyProtection="1">
      <alignment horizontal="center"/>
      <protection locked="0"/>
    </xf>
    <xf numFmtId="0" fontId="3" fillId="22" borderId="24" xfId="0" applyFont="1" applyFill="1" applyBorder="1" applyProtection="1">
      <protection locked="0"/>
    </xf>
    <xf numFmtId="0" fontId="6" fillId="7" borderId="4" xfId="0" applyFont="1" applyFill="1" applyBorder="1" applyAlignment="1">
      <alignment wrapText="1"/>
    </xf>
    <xf numFmtId="0" fontId="0" fillId="7" borderId="0" xfId="0" applyFill="1" applyAlignment="1">
      <alignment wrapText="1"/>
    </xf>
    <xf numFmtId="0" fontId="0" fillId="7" borderId="4" xfId="0" applyFill="1" applyBorder="1" applyAlignment="1">
      <alignment wrapText="1"/>
    </xf>
    <xf numFmtId="0" fontId="0" fillId="0" borderId="4" xfId="0" applyBorder="1" applyAlignment="1">
      <alignment wrapText="1"/>
    </xf>
  </cellXfs>
  <cellStyles count="3">
    <cellStyle name="Link" xfId="1" builtinId="8"/>
    <cellStyle name="Standard" xfId="0" builtinId="0"/>
    <cellStyle name="Standard 2" xfId="2" xr:uid="{00000000-0005-0000-0000-000002000000}"/>
  </cellStyles>
  <dxfs count="29">
    <dxf>
      <font>
        <color rgb="FF9C0006"/>
      </font>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
      <font>
        <b/>
        <i val="0"/>
        <condense val="0"/>
        <extend val="0"/>
      </font>
      <fill>
        <patternFill patternType="none">
          <bgColor indexed="65"/>
        </patternFill>
      </fill>
    </dxf>
  </dxfs>
  <tableStyles count="0" defaultTableStyle="TableStyleMedium2" defaultPivotStyle="PivotStyleLight16"/>
  <colors>
    <mruColors>
      <color rgb="FF2F75B5"/>
      <color rgb="FFBDD7EE"/>
      <color rgb="FF98D6F2"/>
      <color rgb="FF1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6.jpeg"/><Relationship Id="rId1" Type="http://schemas.openxmlformats.org/officeDocument/2006/relationships/hyperlink" Target="http://www.amexio.de/"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10</xdr:row>
      <xdr:rowOff>0</xdr:rowOff>
    </xdr:from>
    <xdr:to>
      <xdr:col>9</xdr:col>
      <xdr:colOff>536738</xdr:colOff>
      <xdr:row>43</xdr:row>
      <xdr:rowOff>124686</xdr:rowOff>
    </xdr:to>
    <xdr:pic>
      <xdr:nvPicPr>
        <xdr:cNvPr id="2" name="Grafik 1">
          <a:extLst>
            <a:ext uri="{FF2B5EF4-FFF2-40B4-BE49-F238E27FC236}">
              <a16:creationId xmlns:a16="http://schemas.microsoft.com/office/drawing/2014/main" id="{87458605-6241-4723-A037-D44E9D1DC9F4}"/>
            </a:ext>
          </a:extLst>
        </xdr:cNvPr>
        <xdr:cNvPicPr>
          <a:picLocks noChangeAspect="1"/>
        </xdr:cNvPicPr>
      </xdr:nvPicPr>
      <xdr:blipFill>
        <a:blip xmlns:r="http://schemas.openxmlformats.org/officeDocument/2006/relationships" r:embed="rId1"/>
        <a:stretch>
          <a:fillRect/>
        </a:stretch>
      </xdr:blipFill>
      <xdr:spPr>
        <a:xfrm>
          <a:off x="762000" y="1114425"/>
          <a:ext cx="6632738" cy="546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333375</xdr:colOff>
      <xdr:row>3</xdr:row>
      <xdr:rowOff>0</xdr:rowOff>
    </xdr:to>
    <xdr:pic>
      <xdr:nvPicPr>
        <xdr:cNvPr id="2" name="Grafik 1">
          <a:extLst>
            <a:ext uri="{FF2B5EF4-FFF2-40B4-BE49-F238E27FC236}">
              <a16:creationId xmlns:a16="http://schemas.microsoft.com/office/drawing/2014/main" id="{DCC7E897-6C9E-40F4-B86B-D3F91D44E9FC}"/>
            </a:ext>
          </a:extLst>
        </xdr:cNvPr>
        <xdr:cNvPicPr>
          <a:picLocks noChangeAspect="1"/>
        </xdr:cNvPicPr>
      </xdr:nvPicPr>
      <xdr:blipFill>
        <a:blip xmlns:r="http://schemas.openxmlformats.org/officeDocument/2006/relationships" r:embed="rId1"/>
        <a:stretch>
          <a:fillRect/>
        </a:stretch>
      </xdr:blipFill>
      <xdr:spPr>
        <a:xfrm>
          <a:off x="114300" y="323850"/>
          <a:ext cx="333375" cy="200025"/>
        </a:xfrm>
        <a:prstGeom prst="rect">
          <a:avLst/>
        </a:prstGeom>
      </xdr:spPr>
    </xdr:pic>
    <xdr:clientData/>
  </xdr:twoCellAnchor>
  <xdr:twoCellAnchor editAs="oneCell">
    <xdr:from>
      <xdr:col>1</xdr:col>
      <xdr:colOff>0</xdr:colOff>
      <xdr:row>4</xdr:row>
      <xdr:rowOff>0</xdr:rowOff>
    </xdr:from>
    <xdr:to>
      <xdr:col>1</xdr:col>
      <xdr:colOff>400050</xdr:colOff>
      <xdr:row>5</xdr:row>
      <xdr:rowOff>0</xdr:rowOff>
    </xdr:to>
    <xdr:pic>
      <xdr:nvPicPr>
        <xdr:cNvPr id="3" name="Grafik 2">
          <a:extLst>
            <a:ext uri="{FF2B5EF4-FFF2-40B4-BE49-F238E27FC236}">
              <a16:creationId xmlns:a16="http://schemas.microsoft.com/office/drawing/2014/main" id="{55633BE6-6920-42D8-A437-4806EB89AD0A}"/>
            </a:ext>
          </a:extLst>
        </xdr:cNvPr>
        <xdr:cNvPicPr>
          <a:picLocks noChangeAspect="1"/>
        </xdr:cNvPicPr>
      </xdr:nvPicPr>
      <xdr:blipFill>
        <a:blip xmlns:r="http://schemas.openxmlformats.org/officeDocument/2006/relationships" r:embed="rId2"/>
        <a:stretch>
          <a:fillRect/>
        </a:stretch>
      </xdr:blipFill>
      <xdr:spPr>
        <a:xfrm>
          <a:off x="114300" y="685800"/>
          <a:ext cx="400050" cy="200025"/>
        </a:xfrm>
        <a:prstGeom prst="rect">
          <a:avLst/>
        </a:prstGeom>
      </xdr:spPr>
    </xdr:pic>
    <xdr:clientData/>
  </xdr:twoCellAnchor>
  <xdr:twoCellAnchor editAs="oneCell">
    <xdr:from>
      <xdr:col>3</xdr:col>
      <xdr:colOff>0</xdr:colOff>
      <xdr:row>2</xdr:row>
      <xdr:rowOff>0</xdr:rowOff>
    </xdr:from>
    <xdr:to>
      <xdr:col>3</xdr:col>
      <xdr:colOff>333375</xdr:colOff>
      <xdr:row>3</xdr:row>
      <xdr:rowOff>0</xdr:rowOff>
    </xdr:to>
    <xdr:pic>
      <xdr:nvPicPr>
        <xdr:cNvPr id="4" name="Grafik 3">
          <a:extLst>
            <a:ext uri="{FF2B5EF4-FFF2-40B4-BE49-F238E27FC236}">
              <a16:creationId xmlns:a16="http://schemas.microsoft.com/office/drawing/2014/main" id="{A253B713-4CA8-4588-9D5C-488D2D365B17}"/>
            </a:ext>
          </a:extLst>
        </xdr:cNvPr>
        <xdr:cNvPicPr>
          <a:picLocks noChangeAspect="1"/>
        </xdr:cNvPicPr>
      </xdr:nvPicPr>
      <xdr:blipFill>
        <a:blip xmlns:r="http://schemas.openxmlformats.org/officeDocument/2006/relationships" r:embed="rId3"/>
        <a:stretch>
          <a:fillRect/>
        </a:stretch>
      </xdr:blipFill>
      <xdr:spPr>
        <a:xfrm>
          <a:off x="1543050" y="323850"/>
          <a:ext cx="333375" cy="200025"/>
        </a:xfrm>
        <a:prstGeom prst="rect">
          <a:avLst/>
        </a:prstGeom>
      </xdr:spPr>
    </xdr:pic>
    <xdr:clientData/>
  </xdr:twoCellAnchor>
  <xdr:twoCellAnchor editAs="oneCell">
    <xdr:from>
      <xdr:col>3</xdr:col>
      <xdr:colOff>0</xdr:colOff>
      <xdr:row>4</xdr:row>
      <xdr:rowOff>0</xdr:rowOff>
    </xdr:from>
    <xdr:to>
      <xdr:col>3</xdr:col>
      <xdr:colOff>200025</xdr:colOff>
      <xdr:row>5</xdr:row>
      <xdr:rowOff>0</xdr:rowOff>
    </xdr:to>
    <xdr:pic>
      <xdr:nvPicPr>
        <xdr:cNvPr id="5" name="Grafik 4">
          <a:extLst>
            <a:ext uri="{FF2B5EF4-FFF2-40B4-BE49-F238E27FC236}">
              <a16:creationId xmlns:a16="http://schemas.microsoft.com/office/drawing/2014/main" id="{6492F8C0-249F-49AA-BBA3-63289CAA2618}"/>
            </a:ext>
          </a:extLst>
        </xdr:cNvPr>
        <xdr:cNvPicPr>
          <a:picLocks noChangeAspect="1"/>
        </xdr:cNvPicPr>
      </xdr:nvPicPr>
      <xdr:blipFill>
        <a:blip xmlns:r="http://schemas.openxmlformats.org/officeDocument/2006/relationships" r:embed="rId4"/>
        <a:stretch>
          <a:fillRect/>
        </a:stretch>
      </xdr:blipFill>
      <xdr:spPr>
        <a:xfrm>
          <a:off x="1543050" y="685800"/>
          <a:ext cx="200025" cy="200025"/>
        </a:xfrm>
        <a:prstGeom prst="rect">
          <a:avLst/>
        </a:prstGeom>
      </xdr:spPr>
    </xdr:pic>
    <xdr:clientData/>
  </xdr:twoCellAnchor>
  <xdr:twoCellAnchor editAs="oneCell">
    <xdr:from>
      <xdr:col>1</xdr:col>
      <xdr:colOff>0</xdr:colOff>
      <xdr:row>8</xdr:row>
      <xdr:rowOff>0</xdr:rowOff>
    </xdr:from>
    <xdr:to>
      <xdr:col>1</xdr:col>
      <xdr:colOff>333375</xdr:colOff>
      <xdr:row>9</xdr:row>
      <xdr:rowOff>0</xdr:rowOff>
    </xdr:to>
    <xdr:pic>
      <xdr:nvPicPr>
        <xdr:cNvPr id="6" name="Grafik 5">
          <a:extLst>
            <a:ext uri="{FF2B5EF4-FFF2-40B4-BE49-F238E27FC236}">
              <a16:creationId xmlns:a16="http://schemas.microsoft.com/office/drawing/2014/main" id="{D611EE52-501D-4A98-ACD5-5C0EAF101005}"/>
            </a:ext>
          </a:extLst>
        </xdr:cNvPr>
        <xdr:cNvPicPr>
          <a:picLocks noChangeAspect="1"/>
        </xdr:cNvPicPr>
      </xdr:nvPicPr>
      <xdr:blipFill>
        <a:blip xmlns:r="http://schemas.openxmlformats.org/officeDocument/2006/relationships" r:embed="rId1"/>
        <a:stretch>
          <a:fillRect/>
        </a:stretch>
      </xdr:blipFill>
      <xdr:spPr>
        <a:xfrm>
          <a:off x="114300" y="1371600"/>
          <a:ext cx="333375" cy="200025"/>
        </a:xfrm>
        <a:prstGeom prst="rect">
          <a:avLst/>
        </a:prstGeom>
      </xdr:spPr>
    </xdr:pic>
    <xdr:clientData/>
  </xdr:twoCellAnchor>
  <xdr:twoCellAnchor editAs="oneCell">
    <xdr:from>
      <xdr:col>3</xdr:col>
      <xdr:colOff>0</xdr:colOff>
      <xdr:row>8</xdr:row>
      <xdr:rowOff>0</xdr:rowOff>
    </xdr:from>
    <xdr:to>
      <xdr:col>3</xdr:col>
      <xdr:colOff>333375</xdr:colOff>
      <xdr:row>9</xdr:row>
      <xdr:rowOff>0</xdr:rowOff>
    </xdr:to>
    <xdr:pic>
      <xdr:nvPicPr>
        <xdr:cNvPr id="7" name="Grafik 6">
          <a:extLst>
            <a:ext uri="{FF2B5EF4-FFF2-40B4-BE49-F238E27FC236}">
              <a16:creationId xmlns:a16="http://schemas.microsoft.com/office/drawing/2014/main" id="{F32AC380-5721-4B84-9443-B3C41B67DAEA}"/>
            </a:ext>
          </a:extLst>
        </xdr:cNvPr>
        <xdr:cNvPicPr>
          <a:picLocks noChangeAspect="1"/>
        </xdr:cNvPicPr>
      </xdr:nvPicPr>
      <xdr:blipFill>
        <a:blip xmlns:r="http://schemas.openxmlformats.org/officeDocument/2006/relationships" r:embed="rId3"/>
        <a:stretch>
          <a:fillRect/>
        </a:stretch>
      </xdr:blipFill>
      <xdr:spPr>
        <a:xfrm>
          <a:off x="1543050" y="1371600"/>
          <a:ext cx="333375" cy="200025"/>
        </a:xfrm>
        <a:prstGeom prst="rect">
          <a:avLst/>
        </a:prstGeom>
      </xdr:spPr>
    </xdr:pic>
    <xdr:clientData/>
  </xdr:twoCellAnchor>
  <xdr:twoCellAnchor editAs="oneCell">
    <xdr:from>
      <xdr:col>1</xdr:col>
      <xdr:colOff>0</xdr:colOff>
      <xdr:row>12</xdr:row>
      <xdr:rowOff>0</xdr:rowOff>
    </xdr:from>
    <xdr:to>
      <xdr:col>1</xdr:col>
      <xdr:colOff>333375</xdr:colOff>
      <xdr:row>13</xdr:row>
      <xdr:rowOff>0</xdr:rowOff>
    </xdr:to>
    <xdr:pic>
      <xdr:nvPicPr>
        <xdr:cNvPr id="14" name="Grafik 13">
          <a:extLst>
            <a:ext uri="{FF2B5EF4-FFF2-40B4-BE49-F238E27FC236}">
              <a16:creationId xmlns:a16="http://schemas.microsoft.com/office/drawing/2014/main" id="{BBD0240E-3C4C-477D-8919-D6611D56368E}"/>
            </a:ext>
          </a:extLst>
        </xdr:cNvPr>
        <xdr:cNvPicPr>
          <a:picLocks noChangeAspect="1"/>
        </xdr:cNvPicPr>
      </xdr:nvPicPr>
      <xdr:blipFill>
        <a:blip xmlns:r="http://schemas.openxmlformats.org/officeDocument/2006/relationships" r:embed="rId1"/>
        <a:stretch>
          <a:fillRect/>
        </a:stretch>
      </xdr:blipFill>
      <xdr:spPr>
        <a:xfrm>
          <a:off x="114300" y="2095500"/>
          <a:ext cx="333375" cy="200025"/>
        </a:xfrm>
        <a:prstGeom prst="rect">
          <a:avLst/>
        </a:prstGeom>
      </xdr:spPr>
    </xdr:pic>
    <xdr:clientData/>
  </xdr:twoCellAnchor>
  <xdr:twoCellAnchor editAs="oneCell">
    <xdr:from>
      <xdr:col>3</xdr:col>
      <xdr:colOff>0</xdr:colOff>
      <xdr:row>16</xdr:row>
      <xdr:rowOff>0</xdr:rowOff>
    </xdr:from>
    <xdr:to>
      <xdr:col>3</xdr:col>
      <xdr:colOff>333375</xdr:colOff>
      <xdr:row>17</xdr:row>
      <xdr:rowOff>0</xdr:rowOff>
    </xdr:to>
    <xdr:pic>
      <xdr:nvPicPr>
        <xdr:cNvPr id="15" name="Grafik 14">
          <a:extLst>
            <a:ext uri="{FF2B5EF4-FFF2-40B4-BE49-F238E27FC236}">
              <a16:creationId xmlns:a16="http://schemas.microsoft.com/office/drawing/2014/main" id="{4F5D81C7-50E1-44B0-8353-3C9C6BAB16BE}"/>
            </a:ext>
          </a:extLst>
        </xdr:cNvPr>
        <xdr:cNvPicPr>
          <a:picLocks noChangeAspect="1"/>
        </xdr:cNvPicPr>
      </xdr:nvPicPr>
      <xdr:blipFill>
        <a:blip xmlns:r="http://schemas.openxmlformats.org/officeDocument/2006/relationships" r:embed="rId1"/>
        <a:stretch>
          <a:fillRect/>
        </a:stretch>
      </xdr:blipFill>
      <xdr:spPr>
        <a:xfrm>
          <a:off x="1543050" y="2819400"/>
          <a:ext cx="333375" cy="200025"/>
        </a:xfrm>
        <a:prstGeom prst="rect">
          <a:avLst/>
        </a:prstGeom>
      </xdr:spPr>
    </xdr:pic>
    <xdr:clientData/>
  </xdr:twoCellAnchor>
  <xdr:twoCellAnchor editAs="oneCell">
    <xdr:from>
      <xdr:col>1</xdr:col>
      <xdr:colOff>0</xdr:colOff>
      <xdr:row>10</xdr:row>
      <xdr:rowOff>0</xdr:rowOff>
    </xdr:from>
    <xdr:to>
      <xdr:col>1</xdr:col>
      <xdr:colOff>400050</xdr:colOff>
      <xdr:row>11</xdr:row>
      <xdr:rowOff>0</xdr:rowOff>
    </xdr:to>
    <xdr:pic>
      <xdr:nvPicPr>
        <xdr:cNvPr id="16" name="Grafik 15">
          <a:extLst>
            <a:ext uri="{FF2B5EF4-FFF2-40B4-BE49-F238E27FC236}">
              <a16:creationId xmlns:a16="http://schemas.microsoft.com/office/drawing/2014/main" id="{8C7896AB-C1EE-437A-A754-2C24F72ECD73}"/>
            </a:ext>
          </a:extLst>
        </xdr:cNvPr>
        <xdr:cNvPicPr>
          <a:picLocks noChangeAspect="1"/>
        </xdr:cNvPicPr>
      </xdr:nvPicPr>
      <xdr:blipFill>
        <a:blip xmlns:r="http://schemas.openxmlformats.org/officeDocument/2006/relationships" r:embed="rId2"/>
        <a:stretch>
          <a:fillRect/>
        </a:stretch>
      </xdr:blipFill>
      <xdr:spPr>
        <a:xfrm>
          <a:off x="114300" y="1733550"/>
          <a:ext cx="400050" cy="200025"/>
        </a:xfrm>
        <a:prstGeom prst="rect">
          <a:avLst/>
        </a:prstGeom>
      </xdr:spPr>
    </xdr:pic>
    <xdr:clientData/>
  </xdr:twoCellAnchor>
  <xdr:twoCellAnchor editAs="oneCell">
    <xdr:from>
      <xdr:col>3</xdr:col>
      <xdr:colOff>0</xdr:colOff>
      <xdr:row>12</xdr:row>
      <xdr:rowOff>0</xdr:rowOff>
    </xdr:from>
    <xdr:to>
      <xdr:col>3</xdr:col>
      <xdr:colOff>400050</xdr:colOff>
      <xdr:row>13</xdr:row>
      <xdr:rowOff>0</xdr:rowOff>
    </xdr:to>
    <xdr:pic>
      <xdr:nvPicPr>
        <xdr:cNvPr id="17" name="Grafik 16">
          <a:extLst>
            <a:ext uri="{FF2B5EF4-FFF2-40B4-BE49-F238E27FC236}">
              <a16:creationId xmlns:a16="http://schemas.microsoft.com/office/drawing/2014/main" id="{3B07D09D-4C4B-465D-AFCB-C806682A8337}"/>
            </a:ext>
          </a:extLst>
        </xdr:cNvPr>
        <xdr:cNvPicPr>
          <a:picLocks noChangeAspect="1"/>
        </xdr:cNvPicPr>
      </xdr:nvPicPr>
      <xdr:blipFill>
        <a:blip xmlns:r="http://schemas.openxmlformats.org/officeDocument/2006/relationships" r:embed="rId2"/>
        <a:stretch>
          <a:fillRect/>
        </a:stretch>
      </xdr:blipFill>
      <xdr:spPr>
        <a:xfrm>
          <a:off x="1543050" y="2095500"/>
          <a:ext cx="400050" cy="200025"/>
        </a:xfrm>
        <a:prstGeom prst="rect">
          <a:avLst/>
        </a:prstGeom>
      </xdr:spPr>
    </xdr:pic>
    <xdr:clientData/>
  </xdr:twoCellAnchor>
  <xdr:twoCellAnchor editAs="oneCell">
    <xdr:from>
      <xdr:col>3</xdr:col>
      <xdr:colOff>0</xdr:colOff>
      <xdr:row>18</xdr:row>
      <xdr:rowOff>0</xdr:rowOff>
    </xdr:from>
    <xdr:to>
      <xdr:col>3</xdr:col>
      <xdr:colOff>400050</xdr:colOff>
      <xdr:row>19</xdr:row>
      <xdr:rowOff>0</xdr:rowOff>
    </xdr:to>
    <xdr:pic>
      <xdr:nvPicPr>
        <xdr:cNvPr id="18" name="Grafik 17">
          <a:extLst>
            <a:ext uri="{FF2B5EF4-FFF2-40B4-BE49-F238E27FC236}">
              <a16:creationId xmlns:a16="http://schemas.microsoft.com/office/drawing/2014/main" id="{27E16F30-6F73-46DC-BD9C-E1FFAAFDA278}"/>
            </a:ext>
          </a:extLst>
        </xdr:cNvPr>
        <xdr:cNvPicPr>
          <a:picLocks noChangeAspect="1"/>
        </xdr:cNvPicPr>
      </xdr:nvPicPr>
      <xdr:blipFill>
        <a:blip xmlns:r="http://schemas.openxmlformats.org/officeDocument/2006/relationships" r:embed="rId2"/>
        <a:stretch>
          <a:fillRect/>
        </a:stretch>
      </xdr:blipFill>
      <xdr:spPr>
        <a:xfrm>
          <a:off x="1543050" y="3181350"/>
          <a:ext cx="400050" cy="200025"/>
        </a:xfrm>
        <a:prstGeom prst="rect">
          <a:avLst/>
        </a:prstGeom>
      </xdr:spPr>
    </xdr:pic>
    <xdr:clientData/>
  </xdr:twoCellAnchor>
  <xdr:twoCellAnchor editAs="oneCell">
    <xdr:from>
      <xdr:col>1</xdr:col>
      <xdr:colOff>0</xdr:colOff>
      <xdr:row>14</xdr:row>
      <xdr:rowOff>0</xdr:rowOff>
    </xdr:from>
    <xdr:to>
      <xdr:col>1</xdr:col>
      <xdr:colOff>333375</xdr:colOff>
      <xdr:row>15</xdr:row>
      <xdr:rowOff>0</xdr:rowOff>
    </xdr:to>
    <xdr:pic>
      <xdr:nvPicPr>
        <xdr:cNvPr id="19" name="Grafik 18">
          <a:extLst>
            <a:ext uri="{FF2B5EF4-FFF2-40B4-BE49-F238E27FC236}">
              <a16:creationId xmlns:a16="http://schemas.microsoft.com/office/drawing/2014/main" id="{A075B6E5-D4D7-4D1B-8DF6-DA03AB618FE2}"/>
            </a:ext>
          </a:extLst>
        </xdr:cNvPr>
        <xdr:cNvPicPr>
          <a:picLocks noChangeAspect="1"/>
        </xdr:cNvPicPr>
      </xdr:nvPicPr>
      <xdr:blipFill>
        <a:blip xmlns:r="http://schemas.openxmlformats.org/officeDocument/2006/relationships" r:embed="rId3"/>
        <a:stretch>
          <a:fillRect/>
        </a:stretch>
      </xdr:blipFill>
      <xdr:spPr>
        <a:xfrm>
          <a:off x="114300" y="2457450"/>
          <a:ext cx="333375" cy="200025"/>
        </a:xfrm>
        <a:prstGeom prst="rect">
          <a:avLst/>
        </a:prstGeom>
      </xdr:spPr>
    </xdr:pic>
    <xdr:clientData/>
  </xdr:twoCellAnchor>
  <xdr:twoCellAnchor editAs="oneCell">
    <xdr:from>
      <xdr:col>1</xdr:col>
      <xdr:colOff>0</xdr:colOff>
      <xdr:row>18</xdr:row>
      <xdr:rowOff>0</xdr:rowOff>
    </xdr:from>
    <xdr:to>
      <xdr:col>1</xdr:col>
      <xdr:colOff>333375</xdr:colOff>
      <xdr:row>19</xdr:row>
      <xdr:rowOff>0</xdr:rowOff>
    </xdr:to>
    <xdr:pic>
      <xdr:nvPicPr>
        <xdr:cNvPr id="20" name="Grafik 19">
          <a:extLst>
            <a:ext uri="{FF2B5EF4-FFF2-40B4-BE49-F238E27FC236}">
              <a16:creationId xmlns:a16="http://schemas.microsoft.com/office/drawing/2014/main" id="{BA832807-77AF-425C-BFAB-C3FF46B8EBC1}"/>
            </a:ext>
          </a:extLst>
        </xdr:cNvPr>
        <xdr:cNvPicPr>
          <a:picLocks noChangeAspect="1"/>
        </xdr:cNvPicPr>
      </xdr:nvPicPr>
      <xdr:blipFill>
        <a:blip xmlns:r="http://schemas.openxmlformats.org/officeDocument/2006/relationships" r:embed="rId3"/>
        <a:stretch>
          <a:fillRect/>
        </a:stretch>
      </xdr:blipFill>
      <xdr:spPr>
        <a:xfrm>
          <a:off x="114300" y="3181350"/>
          <a:ext cx="333375" cy="200025"/>
        </a:xfrm>
        <a:prstGeom prst="rect">
          <a:avLst/>
        </a:prstGeom>
      </xdr:spPr>
    </xdr:pic>
    <xdr:clientData/>
  </xdr:twoCellAnchor>
  <xdr:twoCellAnchor editAs="oneCell">
    <xdr:from>
      <xdr:col>3</xdr:col>
      <xdr:colOff>0</xdr:colOff>
      <xdr:row>10</xdr:row>
      <xdr:rowOff>0</xdr:rowOff>
    </xdr:from>
    <xdr:to>
      <xdr:col>3</xdr:col>
      <xdr:colOff>200025</xdr:colOff>
      <xdr:row>11</xdr:row>
      <xdr:rowOff>0</xdr:rowOff>
    </xdr:to>
    <xdr:pic>
      <xdr:nvPicPr>
        <xdr:cNvPr id="21" name="Grafik 20">
          <a:extLst>
            <a:ext uri="{FF2B5EF4-FFF2-40B4-BE49-F238E27FC236}">
              <a16:creationId xmlns:a16="http://schemas.microsoft.com/office/drawing/2014/main" id="{B7E53B61-C23B-4093-9F4E-8DB8C50183AD}"/>
            </a:ext>
          </a:extLst>
        </xdr:cNvPr>
        <xdr:cNvPicPr>
          <a:picLocks noChangeAspect="1"/>
        </xdr:cNvPicPr>
      </xdr:nvPicPr>
      <xdr:blipFill>
        <a:blip xmlns:r="http://schemas.openxmlformats.org/officeDocument/2006/relationships" r:embed="rId4"/>
        <a:stretch>
          <a:fillRect/>
        </a:stretch>
      </xdr:blipFill>
      <xdr:spPr>
        <a:xfrm>
          <a:off x="1543050" y="1733550"/>
          <a:ext cx="200025" cy="200025"/>
        </a:xfrm>
        <a:prstGeom prst="rect">
          <a:avLst/>
        </a:prstGeom>
      </xdr:spPr>
    </xdr:pic>
    <xdr:clientData/>
  </xdr:twoCellAnchor>
  <xdr:twoCellAnchor editAs="oneCell">
    <xdr:from>
      <xdr:col>3</xdr:col>
      <xdr:colOff>0</xdr:colOff>
      <xdr:row>14</xdr:row>
      <xdr:rowOff>0</xdr:rowOff>
    </xdr:from>
    <xdr:to>
      <xdr:col>3</xdr:col>
      <xdr:colOff>200025</xdr:colOff>
      <xdr:row>15</xdr:row>
      <xdr:rowOff>0</xdr:rowOff>
    </xdr:to>
    <xdr:pic>
      <xdr:nvPicPr>
        <xdr:cNvPr id="22" name="Grafik 21">
          <a:extLst>
            <a:ext uri="{FF2B5EF4-FFF2-40B4-BE49-F238E27FC236}">
              <a16:creationId xmlns:a16="http://schemas.microsoft.com/office/drawing/2014/main" id="{C9DB42AE-7E28-488E-ADD3-2A70D9FD29BE}"/>
            </a:ext>
          </a:extLst>
        </xdr:cNvPr>
        <xdr:cNvPicPr>
          <a:picLocks noChangeAspect="1"/>
        </xdr:cNvPicPr>
      </xdr:nvPicPr>
      <xdr:blipFill>
        <a:blip xmlns:r="http://schemas.openxmlformats.org/officeDocument/2006/relationships" r:embed="rId4"/>
        <a:stretch>
          <a:fillRect/>
        </a:stretch>
      </xdr:blipFill>
      <xdr:spPr>
        <a:xfrm>
          <a:off x="1543050" y="2457450"/>
          <a:ext cx="200025" cy="200025"/>
        </a:xfrm>
        <a:prstGeom prst="rect">
          <a:avLst/>
        </a:prstGeom>
      </xdr:spPr>
    </xdr:pic>
    <xdr:clientData/>
  </xdr:twoCellAnchor>
  <xdr:twoCellAnchor editAs="oneCell">
    <xdr:from>
      <xdr:col>1</xdr:col>
      <xdr:colOff>0</xdr:colOff>
      <xdr:row>16</xdr:row>
      <xdr:rowOff>0</xdr:rowOff>
    </xdr:from>
    <xdr:to>
      <xdr:col>1</xdr:col>
      <xdr:colOff>200025</xdr:colOff>
      <xdr:row>17</xdr:row>
      <xdr:rowOff>0</xdr:rowOff>
    </xdr:to>
    <xdr:pic>
      <xdr:nvPicPr>
        <xdr:cNvPr id="23" name="Grafik 22">
          <a:extLst>
            <a:ext uri="{FF2B5EF4-FFF2-40B4-BE49-F238E27FC236}">
              <a16:creationId xmlns:a16="http://schemas.microsoft.com/office/drawing/2014/main" id="{F04B5FAC-4B4A-479D-A361-F4F16134FC74}"/>
            </a:ext>
          </a:extLst>
        </xdr:cNvPr>
        <xdr:cNvPicPr>
          <a:picLocks noChangeAspect="1"/>
        </xdr:cNvPicPr>
      </xdr:nvPicPr>
      <xdr:blipFill>
        <a:blip xmlns:r="http://schemas.openxmlformats.org/officeDocument/2006/relationships" r:embed="rId4"/>
        <a:stretch>
          <a:fillRect/>
        </a:stretch>
      </xdr:blipFill>
      <xdr:spPr>
        <a:xfrm>
          <a:off x="114300" y="2819400"/>
          <a:ext cx="200025" cy="200025"/>
        </a:xfrm>
        <a:prstGeom prst="rect">
          <a:avLst/>
        </a:prstGeom>
      </xdr:spPr>
    </xdr:pic>
    <xdr:clientData/>
  </xdr:twoCellAnchor>
  <xdr:twoCellAnchor editAs="oneCell">
    <xdr:from>
      <xdr:col>21</xdr:col>
      <xdr:colOff>0</xdr:colOff>
      <xdr:row>2</xdr:row>
      <xdr:rowOff>0</xdr:rowOff>
    </xdr:from>
    <xdr:to>
      <xdr:col>21</xdr:col>
      <xdr:colOff>314325</xdr:colOff>
      <xdr:row>3</xdr:row>
      <xdr:rowOff>9525</xdr:rowOff>
    </xdr:to>
    <xdr:pic>
      <xdr:nvPicPr>
        <xdr:cNvPr id="24" name="Grafik 23">
          <a:extLst>
            <a:ext uri="{FF2B5EF4-FFF2-40B4-BE49-F238E27FC236}">
              <a16:creationId xmlns:a16="http://schemas.microsoft.com/office/drawing/2014/main" id="{3808C9A7-760A-4ED5-86C6-A26F4D1E2861}"/>
            </a:ext>
          </a:extLst>
        </xdr:cNvPr>
        <xdr:cNvPicPr>
          <a:picLocks noChangeAspect="1"/>
        </xdr:cNvPicPr>
      </xdr:nvPicPr>
      <xdr:blipFill>
        <a:blip xmlns:r="http://schemas.openxmlformats.org/officeDocument/2006/relationships" r:embed="rId5"/>
        <a:stretch>
          <a:fillRect/>
        </a:stretch>
      </xdr:blipFill>
      <xdr:spPr>
        <a:xfrm>
          <a:off x="5267325" y="323850"/>
          <a:ext cx="314325" cy="209550"/>
        </a:xfrm>
        <a:prstGeom prst="rect">
          <a:avLst/>
        </a:prstGeom>
      </xdr:spPr>
    </xdr:pic>
    <xdr:clientData/>
  </xdr:twoCellAnchor>
  <xdr:twoCellAnchor editAs="oneCell">
    <xdr:from>
      <xdr:col>23</xdr:col>
      <xdr:colOff>0</xdr:colOff>
      <xdr:row>2</xdr:row>
      <xdr:rowOff>0</xdr:rowOff>
    </xdr:from>
    <xdr:to>
      <xdr:col>23</xdr:col>
      <xdr:colOff>400050</xdr:colOff>
      <xdr:row>3</xdr:row>
      <xdr:rowOff>0</xdr:rowOff>
    </xdr:to>
    <xdr:pic>
      <xdr:nvPicPr>
        <xdr:cNvPr id="25" name="Grafik 24">
          <a:extLst>
            <a:ext uri="{FF2B5EF4-FFF2-40B4-BE49-F238E27FC236}">
              <a16:creationId xmlns:a16="http://schemas.microsoft.com/office/drawing/2014/main" id="{A08E3064-91F0-4D68-9902-FC10C3B4BC56}"/>
            </a:ext>
          </a:extLst>
        </xdr:cNvPr>
        <xdr:cNvPicPr>
          <a:picLocks noChangeAspect="1"/>
        </xdr:cNvPicPr>
      </xdr:nvPicPr>
      <xdr:blipFill>
        <a:blip xmlns:r="http://schemas.openxmlformats.org/officeDocument/2006/relationships" r:embed="rId6"/>
        <a:stretch>
          <a:fillRect/>
        </a:stretch>
      </xdr:blipFill>
      <xdr:spPr>
        <a:xfrm>
          <a:off x="6696075" y="323850"/>
          <a:ext cx="400050" cy="200025"/>
        </a:xfrm>
        <a:prstGeom prst="rect">
          <a:avLst/>
        </a:prstGeom>
      </xdr:spPr>
    </xdr:pic>
    <xdr:clientData/>
  </xdr:twoCellAnchor>
  <xdr:twoCellAnchor editAs="oneCell">
    <xdr:from>
      <xdr:col>21</xdr:col>
      <xdr:colOff>0</xdr:colOff>
      <xdr:row>4</xdr:row>
      <xdr:rowOff>0</xdr:rowOff>
    </xdr:from>
    <xdr:to>
      <xdr:col>21</xdr:col>
      <xdr:colOff>314325</xdr:colOff>
      <xdr:row>5</xdr:row>
      <xdr:rowOff>9525</xdr:rowOff>
    </xdr:to>
    <xdr:pic>
      <xdr:nvPicPr>
        <xdr:cNvPr id="26" name="Grafik 25">
          <a:extLst>
            <a:ext uri="{FF2B5EF4-FFF2-40B4-BE49-F238E27FC236}">
              <a16:creationId xmlns:a16="http://schemas.microsoft.com/office/drawing/2014/main" id="{2AB1BB68-F461-48DE-8D93-A38D7494E754}"/>
            </a:ext>
          </a:extLst>
        </xdr:cNvPr>
        <xdr:cNvPicPr>
          <a:picLocks noChangeAspect="1"/>
        </xdr:cNvPicPr>
      </xdr:nvPicPr>
      <xdr:blipFill>
        <a:blip xmlns:r="http://schemas.openxmlformats.org/officeDocument/2006/relationships" r:embed="rId7"/>
        <a:stretch>
          <a:fillRect/>
        </a:stretch>
      </xdr:blipFill>
      <xdr:spPr>
        <a:xfrm>
          <a:off x="5267325" y="685800"/>
          <a:ext cx="314325" cy="209550"/>
        </a:xfrm>
        <a:prstGeom prst="rect">
          <a:avLst/>
        </a:prstGeom>
      </xdr:spPr>
    </xdr:pic>
    <xdr:clientData/>
  </xdr:twoCellAnchor>
  <xdr:twoCellAnchor editAs="oneCell">
    <xdr:from>
      <xdr:col>23</xdr:col>
      <xdr:colOff>0</xdr:colOff>
      <xdr:row>4</xdr:row>
      <xdr:rowOff>0</xdr:rowOff>
    </xdr:from>
    <xdr:to>
      <xdr:col>23</xdr:col>
      <xdr:colOff>280035</xdr:colOff>
      <xdr:row>5</xdr:row>
      <xdr:rowOff>0</xdr:rowOff>
    </xdr:to>
    <xdr:pic>
      <xdr:nvPicPr>
        <xdr:cNvPr id="27" name="Grafik 26">
          <a:extLst>
            <a:ext uri="{FF2B5EF4-FFF2-40B4-BE49-F238E27FC236}">
              <a16:creationId xmlns:a16="http://schemas.microsoft.com/office/drawing/2014/main" id="{5D59621A-753C-4F2A-81F4-B0D275E963D9}"/>
            </a:ext>
          </a:extLst>
        </xdr:cNvPr>
        <xdr:cNvPicPr>
          <a:picLocks noChangeAspect="1"/>
        </xdr:cNvPicPr>
      </xdr:nvPicPr>
      <xdr:blipFill>
        <a:blip xmlns:r="http://schemas.openxmlformats.org/officeDocument/2006/relationships" r:embed="rId8"/>
        <a:stretch>
          <a:fillRect/>
        </a:stretch>
      </xdr:blipFill>
      <xdr:spPr>
        <a:xfrm>
          <a:off x="6696075" y="685800"/>
          <a:ext cx="280035" cy="200025"/>
        </a:xfrm>
        <a:prstGeom prst="rect">
          <a:avLst/>
        </a:prstGeom>
      </xdr:spPr>
    </xdr:pic>
    <xdr:clientData/>
  </xdr:twoCellAnchor>
  <xdr:twoCellAnchor editAs="oneCell">
    <xdr:from>
      <xdr:col>21</xdr:col>
      <xdr:colOff>0</xdr:colOff>
      <xdr:row>8</xdr:row>
      <xdr:rowOff>0</xdr:rowOff>
    </xdr:from>
    <xdr:to>
      <xdr:col>21</xdr:col>
      <xdr:colOff>314325</xdr:colOff>
      <xdr:row>9</xdr:row>
      <xdr:rowOff>9525</xdr:rowOff>
    </xdr:to>
    <xdr:pic>
      <xdr:nvPicPr>
        <xdr:cNvPr id="52" name="Grafik 51">
          <a:extLst>
            <a:ext uri="{FF2B5EF4-FFF2-40B4-BE49-F238E27FC236}">
              <a16:creationId xmlns:a16="http://schemas.microsoft.com/office/drawing/2014/main" id="{F676A2B3-EDB8-446D-8B78-FFCA62E10CD1}"/>
            </a:ext>
          </a:extLst>
        </xdr:cNvPr>
        <xdr:cNvPicPr>
          <a:picLocks noChangeAspect="1"/>
        </xdr:cNvPicPr>
      </xdr:nvPicPr>
      <xdr:blipFill>
        <a:blip xmlns:r="http://schemas.openxmlformats.org/officeDocument/2006/relationships" r:embed="rId5"/>
        <a:stretch>
          <a:fillRect/>
        </a:stretch>
      </xdr:blipFill>
      <xdr:spPr>
        <a:xfrm>
          <a:off x="5267325" y="1371600"/>
          <a:ext cx="314325" cy="209550"/>
        </a:xfrm>
        <a:prstGeom prst="rect">
          <a:avLst/>
        </a:prstGeom>
      </xdr:spPr>
    </xdr:pic>
    <xdr:clientData/>
  </xdr:twoCellAnchor>
  <xdr:twoCellAnchor editAs="oneCell">
    <xdr:from>
      <xdr:col>21</xdr:col>
      <xdr:colOff>0</xdr:colOff>
      <xdr:row>14</xdr:row>
      <xdr:rowOff>0</xdr:rowOff>
    </xdr:from>
    <xdr:to>
      <xdr:col>21</xdr:col>
      <xdr:colOff>314325</xdr:colOff>
      <xdr:row>15</xdr:row>
      <xdr:rowOff>9525</xdr:rowOff>
    </xdr:to>
    <xdr:pic>
      <xdr:nvPicPr>
        <xdr:cNvPr id="53" name="Grafik 52">
          <a:extLst>
            <a:ext uri="{FF2B5EF4-FFF2-40B4-BE49-F238E27FC236}">
              <a16:creationId xmlns:a16="http://schemas.microsoft.com/office/drawing/2014/main" id="{F9DE3B84-4693-48EC-A641-8575C42CE756}"/>
            </a:ext>
          </a:extLst>
        </xdr:cNvPr>
        <xdr:cNvPicPr>
          <a:picLocks noChangeAspect="1"/>
        </xdr:cNvPicPr>
      </xdr:nvPicPr>
      <xdr:blipFill>
        <a:blip xmlns:r="http://schemas.openxmlformats.org/officeDocument/2006/relationships" r:embed="rId5"/>
        <a:stretch>
          <a:fillRect/>
        </a:stretch>
      </xdr:blipFill>
      <xdr:spPr>
        <a:xfrm>
          <a:off x="5267325" y="2457450"/>
          <a:ext cx="314325" cy="209550"/>
        </a:xfrm>
        <a:prstGeom prst="rect">
          <a:avLst/>
        </a:prstGeom>
      </xdr:spPr>
    </xdr:pic>
    <xdr:clientData/>
  </xdr:twoCellAnchor>
  <xdr:twoCellAnchor editAs="oneCell">
    <xdr:from>
      <xdr:col>23</xdr:col>
      <xdr:colOff>0</xdr:colOff>
      <xdr:row>18</xdr:row>
      <xdr:rowOff>0</xdr:rowOff>
    </xdr:from>
    <xdr:to>
      <xdr:col>23</xdr:col>
      <xdr:colOff>314325</xdr:colOff>
      <xdr:row>19</xdr:row>
      <xdr:rowOff>9525</xdr:rowOff>
    </xdr:to>
    <xdr:pic>
      <xdr:nvPicPr>
        <xdr:cNvPr id="54" name="Grafik 53">
          <a:extLst>
            <a:ext uri="{FF2B5EF4-FFF2-40B4-BE49-F238E27FC236}">
              <a16:creationId xmlns:a16="http://schemas.microsoft.com/office/drawing/2014/main" id="{789BF1B7-4573-485C-BB52-C37CD47B020C}"/>
            </a:ext>
          </a:extLst>
        </xdr:cNvPr>
        <xdr:cNvPicPr>
          <a:picLocks noChangeAspect="1"/>
        </xdr:cNvPicPr>
      </xdr:nvPicPr>
      <xdr:blipFill>
        <a:blip xmlns:r="http://schemas.openxmlformats.org/officeDocument/2006/relationships" r:embed="rId5"/>
        <a:stretch>
          <a:fillRect/>
        </a:stretch>
      </xdr:blipFill>
      <xdr:spPr>
        <a:xfrm>
          <a:off x="6696075" y="3181350"/>
          <a:ext cx="314325" cy="209550"/>
        </a:xfrm>
        <a:prstGeom prst="rect">
          <a:avLst/>
        </a:prstGeom>
      </xdr:spPr>
    </xdr:pic>
    <xdr:clientData/>
  </xdr:twoCellAnchor>
  <xdr:twoCellAnchor editAs="oneCell">
    <xdr:from>
      <xdr:col>23</xdr:col>
      <xdr:colOff>0</xdr:colOff>
      <xdr:row>8</xdr:row>
      <xdr:rowOff>0</xdr:rowOff>
    </xdr:from>
    <xdr:to>
      <xdr:col>23</xdr:col>
      <xdr:colOff>400050</xdr:colOff>
      <xdr:row>9</xdr:row>
      <xdr:rowOff>0</xdr:rowOff>
    </xdr:to>
    <xdr:pic>
      <xdr:nvPicPr>
        <xdr:cNvPr id="55" name="Grafik 54">
          <a:extLst>
            <a:ext uri="{FF2B5EF4-FFF2-40B4-BE49-F238E27FC236}">
              <a16:creationId xmlns:a16="http://schemas.microsoft.com/office/drawing/2014/main" id="{6B400884-B5B6-437A-B014-A371DB4BB7CB}"/>
            </a:ext>
          </a:extLst>
        </xdr:cNvPr>
        <xdr:cNvPicPr>
          <a:picLocks noChangeAspect="1"/>
        </xdr:cNvPicPr>
      </xdr:nvPicPr>
      <xdr:blipFill>
        <a:blip xmlns:r="http://schemas.openxmlformats.org/officeDocument/2006/relationships" r:embed="rId6"/>
        <a:stretch>
          <a:fillRect/>
        </a:stretch>
      </xdr:blipFill>
      <xdr:spPr>
        <a:xfrm>
          <a:off x="6696075" y="1371600"/>
          <a:ext cx="400050" cy="200025"/>
        </a:xfrm>
        <a:prstGeom prst="rect">
          <a:avLst/>
        </a:prstGeom>
      </xdr:spPr>
    </xdr:pic>
    <xdr:clientData/>
  </xdr:twoCellAnchor>
  <xdr:twoCellAnchor editAs="oneCell">
    <xdr:from>
      <xdr:col>21</xdr:col>
      <xdr:colOff>0</xdr:colOff>
      <xdr:row>12</xdr:row>
      <xdr:rowOff>0</xdr:rowOff>
    </xdr:from>
    <xdr:to>
      <xdr:col>21</xdr:col>
      <xdr:colOff>400050</xdr:colOff>
      <xdr:row>13</xdr:row>
      <xdr:rowOff>0</xdr:rowOff>
    </xdr:to>
    <xdr:pic>
      <xdr:nvPicPr>
        <xdr:cNvPr id="56" name="Grafik 55">
          <a:extLst>
            <a:ext uri="{FF2B5EF4-FFF2-40B4-BE49-F238E27FC236}">
              <a16:creationId xmlns:a16="http://schemas.microsoft.com/office/drawing/2014/main" id="{19236F78-F018-4B1B-AC9B-E9305492E572}"/>
            </a:ext>
          </a:extLst>
        </xdr:cNvPr>
        <xdr:cNvPicPr>
          <a:picLocks noChangeAspect="1"/>
        </xdr:cNvPicPr>
      </xdr:nvPicPr>
      <xdr:blipFill>
        <a:blip xmlns:r="http://schemas.openxmlformats.org/officeDocument/2006/relationships" r:embed="rId6"/>
        <a:stretch>
          <a:fillRect/>
        </a:stretch>
      </xdr:blipFill>
      <xdr:spPr>
        <a:xfrm>
          <a:off x="5267325" y="2095500"/>
          <a:ext cx="400050" cy="200025"/>
        </a:xfrm>
        <a:prstGeom prst="rect">
          <a:avLst/>
        </a:prstGeom>
      </xdr:spPr>
    </xdr:pic>
    <xdr:clientData/>
  </xdr:twoCellAnchor>
  <xdr:twoCellAnchor editAs="oneCell">
    <xdr:from>
      <xdr:col>21</xdr:col>
      <xdr:colOff>0</xdr:colOff>
      <xdr:row>16</xdr:row>
      <xdr:rowOff>0</xdr:rowOff>
    </xdr:from>
    <xdr:to>
      <xdr:col>21</xdr:col>
      <xdr:colOff>400050</xdr:colOff>
      <xdr:row>17</xdr:row>
      <xdr:rowOff>0</xdr:rowOff>
    </xdr:to>
    <xdr:pic>
      <xdr:nvPicPr>
        <xdr:cNvPr id="57" name="Grafik 56">
          <a:extLst>
            <a:ext uri="{FF2B5EF4-FFF2-40B4-BE49-F238E27FC236}">
              <a16:creationId xmlns:a16="http://schemas.microsoft.com/office/drawing/2014/main" id="{5CABC699-977A-4551-A510-3DF7D913DCEA}"/>
            </a:ext>
          </a:extLst>
        </xdr:cNvPr>
        <xdr:cNvPicPr>
          <a:picLocks noChangeAspect="1"/>
        </xdr:cNvPicPr>
      </xdr:nvPicPr>
      <xdr:blipFill>
        <a:blip xmlns:r="http://schemas.openxmlformats.org/officeDocument/2006/relationships" r:embed="rId6"/>
        <a:stretch>
          <a:fillRect/>
        </a:stretch>
      </xdr:blipFill>
      <xdr:spPr>
        <a:xfrm>
          <a:off x="5267325" y="2819400"/>
          <a:ext cx="400050" cy="200025"/>
        </a:xfrm>
        <a:prstGeom prst="rect">
          <a:avLst/>
        </a:prstGeom>
      </xdr:spPr>
    </xdr:pic>
    <xdr:clientData/>
  </xdr:twoCellAnchor>
  <xdr:twoCellAnchor editAs="oneCell">
    <xdr:from>
      <xdr:col>21</xdr:col>
      <xdr:colOff>0</xdr:colOff>
      <xdr:row>10</xdr:row>
      <xdr:rowOff>0</xdr:rowOff>
    </xdr:from>
    <xdr:to>
      <xdr:col>21</xdr:col>
      <xdr:colOff>314325</xdr:colOff>
      <xdr:row>11</xdr:row>
      <xdr:rowOff>9525</xdr:rowOff>
    </xdr:to>
    <xdr:pic>
      <xdr:nvPicPr>
        <xdr:cNvPr id="58" name="Grafik 57">
          <a:extLst>
            <a:ext uri="{FF2B5EF4-FFF2-40B4-BE49-F238E27FC236}">
              <a16:creationId xmlns:a16="http://schemas.microsoft.com/office/drawing/2014/main" id="{79E14D37-AB25-466B-853B-733D2889D388}"/>
            </a:ext>
          </a:extLst>
        </xdr:cNvPr>
        <xdr:cNvPicPr>
          <a:picLocks noChangeAspect="1"/>
        </xdr:cNvPicPr>
      </xdr:nvPicPr>
      <xdr:blipFill>
        <a:blip xmlns:r="http://schemas.openxmlformats.org/officeDocument/2006/relationships" r:embed="rId7"/>
        <a:stretch>
          <a:fillRect/>
        </a:stretch>
      </xdr:blipFill>
      <xdr:spPr>
        <a:xfrm>
          <a:off x="5267325" y="1733550"/>
          <a:ext cx="314325" cy="209550"/>
        </a:xfrm>
        <a:prstGeom prst="rect">
          <a:avLst/>
        </a:prstGeom>
      </xdr:spPr>
    </xdr:pic>
    <xdr:clientData/>
  </xdr:twoCellAnchor>
  <xdr:twoCellAnchor editAs="oneCell">
    <xdr:from>
      <xdr:col>23</xdr:col>
      <xdr:colOff>0</xdr:colOff>
      <xdr:row>14</xdr:row>
      <xdr:rowOff>0</xdr:rowOff>
    </xdr:from>
    <xdr:to>
      <xdr:col>23</xdr:col>
      <xdr:colOff>314325</xdr:colOff>
      <xdr:row>15</xdr:row>
      <xdr:rowOff>9525</xdr:rowOff>
    </xdr:to>
    <xdr:pic>
      <xdr:nvPicPr>
        <xdr:cNvPr id="59" name="Grafik 58">
          <a:extLst>
            <a:ext uri="{FF2B5EF4-FFF2-40B4-BE49-F238E27FC236}">
              <a16:creationId xmlns:a16="http://schemas.microsoft.com/office/drawing/2014/main" id="{ADE557CE-10E9-4E19-AAC9-3D17B1B93FF5}"/>
            </a:ext>
          </a:extLst>
        </xdr:cNvPr>
        <xdr:cNvPicPr>
          <a:picLocks noChangeAspect="1"/>
        </xdr:cNvPicPr>
      </xdr:nvPicPr>
      <xdr:blipFill>
        <a:blip xmlns:r="http://schemas.openxmlformats.org/officeDocument/2006/relationships" r:embed="rId7"/>
        <a:stretch>
          <a:fillRect/>
        </a:stretch>
      </xdr:blipFill>
      <xdr:spPr>
        <a:xfrm>
          <a:off x="6696075" y="2457450"/>
          <a:ext cx="314325" cy="209550"/>
        </a:xfrm>
        <a:prstGeom prst="rect">
          <a:avLst/>
        </a:prstGeom>
      </xdr:spPr>
    </xdr:pic>
    <xdr:clientData/>
  </xdr:twoCellAnchor>
  <xdr:twoCellAnchor editAs="oneCell">
    <xdr:from>
      <xdr:col>23</xdr:col>
      <xdr:colOff>0</xdr:colOff>
      <xdr:row>16</xdr:row>
      <xdr:rowOff>0</xdr:rowOff>
    </xdr:from>
    <xdr:to>
      <xdr:col>23</xdr:col>
      <xdr:colOff>314325</xdr:colOff>
      <xdr:row>17</xdr:row>
      <xdr:rowOff>9525</xdr:rowOff>
    </xdr:to>
    <xdr:pic>
      <xdr:nvPicPr>
        <xdr:cNvPr id="60" name="Grafik 59">
          <a:extLst>
            <a:ext uri="{FF2B5EF4-FFF2-40B4-BE49-F238E27FC236}">
              <a16:creationId xmlns:a16="http://schemas.microsoft.com/office/drawing/2014/main" id="{A5106DF7-FD8F-4155-8279-88485A9982D9}"/>
            </a:ext>
          </a:extLst>
        </xdr:cNvPr>
        <xdr:cNvPicPr>
          <a:picLocks noChangeAspect="1"/>
        </xdr:cNvPicPr>
      </xdr:nvPicPr>
      <xdr:blipFill>
        <a:blip xmlns:r="http://schemas.openxmlformats.org/officeDocument/2006/relationships" r:embed="rId7"/>
        <a:stretch>
          <a:fillRect/>
        </a:stretch>
      </xdr:blipFill>
      <xdr:spPr>
        <a:xfrm>
          <a:off x="6696075" y="2819400"/>
          <a:ext cx="314325" cy="209550"/>
        </a:xfrm>
        <a:prstGeom prst="rect">
          <a:avLst/>
        </a:prstGeom>
      </xdr:spPr>
    </xdr:pic>
    <xdr:clientData/>
  </xdr:twoCellAnchor>
  <xdr:twoCellAnchor editAs="oneCell">
    <xdr:from>
      <xdr:col>23</xdr:col>
      <xdr:colOff>0</xdr:colOff>
      <xdr:row>10</xdr:row>
      <xdr:rowOff>0</xdr:rowOff>
    </xdr:from>
    <xdr:to>
      <xdr:col>23</xdr:col>
      <xdr:colOff>280035</xdr:colOff>
      <xdr:row>11</xdr:row>
      <xdr:rowOff>0</xdr:rowOff>
    </xdr:to>
    <xdr:pic>
      <xdr:nvPicPr>
        <xdr:cNvPr id="61" name="Grafik 60">
          <a:extLst>
            <a:ext uri="{FF2B5EF4-FFF2-40B4-BE49-F238E27FC236}">
              <a16:creationId xmlns:a16="http://schemas.microsoft.com/office/drawing/2014/main" id="{4BE7EE47-BBB7-4E3B-90B2-16C16A50D3EC}"/>
            </a:ext>
          </a:extLst>
        </xdr:cNvPr>
        <xdr:cNvPicPr>
          <a:picLocks noChangeAspect="1"/>
        </xdr:cNvPicPr>
      </xdr:nvPicPr>
      <xdr:blipFill>
        <a:blip xmlns:r="http://schemas.openxmlformats.org/officeDocument/2006/relationships" r:embed="rId8"/>
        <a:stretch>
          <a:fillRect/>
        </a:stretch>
      </xdr:blipFill>
      <xdr:spPr>
        <a:xfrm>
          <a:off x="6696075" y="1733550"/>
          <a:ext cx="280035" cy="200025"/>
        </a:xfrm>
        <a:prstGeom prst="rect">
          <a:avLst/>
        </a:prstGeom>
      </xdr:spPr>
    </xdr:pic>
    <xdr:clientData/>
  </xdr:twoCellAnchor>
  <xdr:twoCellAnchor editAs="oneCell">
    <xdr:from>
      <xdr:col>23</xdr:col>
      <xdr:colOff>0</xdr:colOff>
      <xdr:row>12</xdr:row>
      <xdr:rowOff>0</xdr:rowOff>
    </xdr:from>
    <xdr:to>
      <xdr:col>23</xdr:col>
      <xdr:colOff>280035</xdr:colOff>
      <xdr:row>13</xdr:row>
      <xdr:rowOff>0</xdr:rowOff>
    </xdr:to>
    <xdr:pic>
      <xdr:nvPicPr>
        <xdr:cNvPr id="62" name="Grafik 61">
          <a:extLst>
            <a:ext uri="{FF2B5EF4-FFF2-40B4-BE49-F238E27FC236}">
              <a16:creationId xmlns:a16="http://schemas.microsoft.com/office/drawing/2014/main" id="{715ABA47-48B6-4635-88B9-A62C4DE78752}"/>
            </a:ext>
          </a:extLst>
        </xdr:cNvPr>
        <xdr:cNvPicPr>
          <a:picLocks noChangeAspect="1"/>
        </xdr:cNvPicPr>
      </xdr:nvPicPr>
      <xdr:blipFill>
        <a:blip xmlns:r="http://schemas.openxmlformats.org/officeDocument/2006/relationships" r:embed="rId8"/>
        <a:stretch>
          <a:fillRect/>
        </a:stretch>
      </xdr:blipFill>
      <xdr:spPr>
        <a:xfrm>
          <a:off x="6696075" y="2095500"/>
          <a:ext cx="280035" cy="200025"/>
        </a:xfrm>
        <a:prstGeom prst="rect">
          <a:avLst/>
        </a:prstGeom>
      </xdr:spPr>
    </xdr:pic>
    <xdr:clientData/>
  </xdr:twoCellAnchor>
  <xdr:twoCellAnchor editAs="oneCell">
    <xdr:from>
      <xdr:col>21</xdr:col>
      <xdr:colOff>0</xdr:colOff>
      <xdr:row>18</xdr:row>
      <xdr:rowOff>0</xdr:rowOff>
    </xdr:from>
    <xdr:to>
      <xdr:col>21</xdr:col>
      <xdr:colOff>280035</xdr:colOff>
      <xdr:row>19</xdr:row>
      <xdr:rowOff>0</xdr:rowOff>
    </xdr:to>
    <xdr:pic>
      <xdr:nvPicPr>
        <xdr:cNvPr id="63" name="Grafik 62">
          <a:extLst>
            <a:ext uri="{FF2B5EF4-FFF2-40B4-BE49-F238E27FC236}">
              <a16:creationId xmlns:a16="http://schemas.microsoft.com/office/drawing/2014/main" id="{67EE9721-7C98-4198-BADE-1BB973782C0B}"/>
            </a:ext>
          </a:extLst>
        </xdr:cNvPr>
        <xdr:cNvPicPr>
          <a:picLocks noChangeAspect="1"/>
        </xdr:cNvPicPr>
      </xdr:nvPicPr>
      <xdr:blipFill>
        <a:blip xmlns:r="http://schemas.openxmlformats.org/officeDocument/2006/relationships" r:embed="rId8"/>
        <a:stretch>
          <a:fillRect/>
        </a:stretch>
      </xdr:blipFill>
      <xdr:spPr>
        <a:xfrm>
          <a:off x="5267325" y="3181350"/>
          <a:ext cx="280035" cy="200025"/>
        </a:xfrm>
        <a:prstGeom prst="rect">
          <a:avLst/>
        </a:prstGeom>
      </xdr:spPr>
    </xdr:pic>
    <xdr:clientData/>
  </xdr:twoCellAnchor>
  <xdr:twoCellAnchor editAs="oneCell">
    <xdr:from>
      <xdr:col>41</xdr:col>
      <xdr:colOff>0</xdr:colOff>
      <xdr:row>4</xdr:row>
      <xdr:rowOff>0</xdr:rowOff>
    </xdr:from>
    <xdr:to>
      <xdr:col>41</xdr:col>
      <xdr:colOff>314325</xdr:colOff>
      <xdr:row>5</xdr:row>
      <xdr:rowOff>9525</xdr:rowOff>
    </xdr:to>
    <xdr:pic>
      <xdr:nvPicPr>
        <xdr:cNvPr id="64" name="Grafik 63">
          <a:extLst>
            <a:ext uri="{FF2B5EF4-FFF2-40B4-BE49-F238E27FC236}">
              <a16:creationId xmlns:a16="http://schemas.microsoft.com/office/drawing/2014/main" id="{65880C97-1351-4A8A-9716-87F748C83667}"/>
            </a:ext>
          </a:extLst>
        </xdr:cNvPr>
        <xdr:cNvPicPr>
          <a:picLocks noChangeAspect="1"/>
        </xdr:cNvPicPr>
      </xdr:nvPicPr>
      <xdr:blipFill>
        <a:blip xmlns:r="http://schemas.openxmlformats.org/officeDocument/2006/relationships" r:embed="rId9"/>
        <a:stretch>
          <a:fillRect/>
        </a:stretch>
      </xdr:blipFill>
      <xdr:spPr>
        <a:xfrm>
          <a:off x="10420350" y="685800"/>
          <a:ext cx="314325" cy="209550"/>
        </a:xfrm>
        <a:prstGeom prst="rect">
          <a:avLst/>
        </a:prstGeom>
      </xdr:spPr>
    </xdr:pic>
    <xdr:clientData/>
  </xdr:twoCellAnchor>
  <xdr:twoCellAnchor editAs="oneCell">
    <xdr:from>
      <xdr:col>41</xdr:col>
      <xdr:colOff>0</xdr:colOff>
      <xdr:row>2</xdr:row>
      <xdr:rowOff>0</xdr:rowOff>
    </xdr:from>
    <xdr:to>
      <xdr:col>41</xdr:col>
      <xdr:colOff>400050</xdr:colOff>
      <xdr:row>3</xdr:row>
      <xdr:rowOff>0</xdr:rowOff>
    </xdr:to>
    <xdr:pic>
      <xdr:nvPicPr>
        <xdr:cNvPr id="65" name="Grafik 64">
          <a:extLst>
            <a:ext uri="{FF2B5EF4-FFF2-40B4-BE49-F238E27FC236}">
              <a16:creationId xmlns:a16="http://schemas.microsoft.com/office/drawing/2014/main" id="{15509747-4D61-4633-B853-1FF24C1EB83B}"/>
            </a:ext>
          </a:extLst>
        </xdr:cNvPr>
        <xdr:cNvPicPr>
          <a:picLocks noChangeAspect="1"/>
        </xdr:cNvPicPr>
      </xdr:nvPicPr>
      <xdr:blipFill>
        <a:blip xmlns:r="http://schemas.openxmlformats.org/officeDocument/2006/relationships" r:embed="rId10"/>
        <a:stretch>
          <a:fillRect/>
        </a:stretch>
      </xdr:blipFill>
      <xdr:spPr>
        <a:xfrm>
          <a:off x="10420350" y="323850"/>
          <a:ext cx="400050" cy="200025"/>
        </a:xfrm>
        <a:prstGeom prst="rect">
          <a:avLst/>
        </a:prstGeom>
      </xdr:spPr>
    </xdr:pic>
    <xdr:clientData/>
  </xdr:twoCellAnchor>
  <xdr:twoCellAnchor editAs="oneCell">
    <xdr:from>
      <xdr:col>43</xdr:col>
      <xdr:colOff>0</xdr:colOff>
      <xdr:row>2</xdr:row>
      <xdr:rowOff>0</xdr:rowOff>
    </xdr:from>
    <xdr:to>
      <xdr:col>43</xdr:col>
      <xdr:colOff>314325</xdr:colOff>
      <xdr:row>3</xdr:row>
      <xdr:rowOff>38703</xdr:rowOff>
    </xdr:to>
    <xdr:pic>
      <xdr:nvPicPr>
        <xdr:cNvPr id="66" name="Grafik 65">
          <a:extLst>
            <a:ext uri="{FF2B5EF4-FFF2-40B4-BE49-F238E27FC236}">
              <a16:creationId xmlns:a16="http://schemas.microsoft.com/office/drawing/2014/main" id="{112F32F4-A0E5-4A5A-B64D-A3BF18381A51}"/>
            </a:ext>
          </a:extLst>
        </xdr:cNvPr>
        <xdr:cNvPicPr>
          <a:picLocks noChangeAspect="1"/>
        </xdr:cNvPicPr>
      </xdr:nvPicPr>
      <xdr:blipFill>
        <a:blip xmlns:r="http://schemas.openxmlformats.org/officeDocument/2006/relationships" r:embed="rId11"/>
        <a:stretch>
          <a:fillRect/>
        </a:stretch>
      </xdr:blipFill>
      <xdr:spPr>
        <a:xfrm>
          <a:off x="11849100" y="323850"/>
          <a:ext cx="314325" cy="238728"/>
        </a:xfrm>
        <a:prstGeom prst="rect">
          <a:avLst/>
        </a:prstGeom>
      </xdr:spPr>
    </xdr:pic>
    <xdr:clientData/>
  </xdr:twoCellAnchor>
  <xdr:twoCellAnchor editAs="oneCell">
    <xdr:from>
      <xdr:col>43</xdr:col>
      <xdr:colOff>0</xdr:colOff>
      <xdr:row>4</xdr:row>
      <xdr:rowOff>0</xdr:rowOff>
    </xdr:from>
    <xdr:to>
      <xdr:col>43</xdr:col>
      <xdr:colOff>333375</xdr:colOff>
      <xdr:row>5</xdr:row>
      <xdr:rowOff>0</xdr:rowOff>
    </xdr:to>
    <xdr:pic>
      <xdr:nvPicPr>
        <xdr:cNvPr id="67" name="Grafik 66">
          <a:extLst>
            <a:ext uri="{FF2B5EF4-FFF2-40B4-BE49-F238E27FC236}">
              <a16:creationId xmlns:a16="http://schemas.microsoft.com/office/drawing/2014/main" id="{20C74908-2285-4B0E-85AA-0C24D82C572A}"/>
            </a:ext>
          </a:extLst>
        </xdr:cNvPr>
        <xdr:cNvPicPr>
          <a:picLocks noChangeAspect="1"/>
        </xdr:cNvPicPr>
      </xdr:nvPicPr>
      <xdr:blipFill>
        <a:blip xmlns:r="http://schemas.openxmlformats.org/officeDocument/2006/relationships" r:embed="rId12"/>
        <a:stretch>
          <a:fillRect/>
        </a:stretch>
      </xdr:blipFill>
      <xdr:spPr>
        <a:xfrm>
          <a:off x="11849100" y="685800"/>
          <a:ext cx="333375" cy="200025"/>
        </a:xfrm>
        <a:prstGeom prst="rect">
          <a:avLst/>
        </a:prstGeom>
      </xdr:spPr>
    </xdr:pic>
    <xdr:clientData/>
  </xdr:twoCellAnchor>
  <xdr:twoCellAnchor editAs="oneCell">
    <xdr:from>
      <xdr:col>41</xdr:col>
      <xdr:colOff>0</xdr:colOff>
      <xdr:row>8</xdr:row>
      <xdr:rowOff>0</xdr:rowOff>
    </xdr:from>
    <xdr:to>
      <xdr:col>41</xdr:col>
      <xdr:colOff>400050</xdr:colOff>
      <xdr:row>9</xdr:row>
      <xdr:rowOff>0</xdr:rowOff>
    </xdr:to>
    <xdr:pic>
      <xdr:nvPicPr>
        <xdr:cNvPr id="68" name="Grafik 67">
          <a:extLst>
            <a:ext uri="{FF2B5EF4-FFF2-40B4-BE49-F238E27FC236}">
              <a16:creationId xmlns:a16="http://schemas.microsoft.com/office/drawing/2014/main" id="{E4C2039E-EF30-4CBA-A3BE-DFA9B5517B68}"/>
            </a:ext>
          </a:extLst>
        </xdr:cNvPr>
        <xdr:cNvPicPr>
          <a:picLocks noChangeAspect="1"/>
        </xdr:cNvPicPr>
      </xdr:nvPicPr>
      <xdr:blipFill>
        <a:blip xmlns:r="http://schemas.openxmlformats.org/officeDocument/2006/relationships" r:embed="rId10"/>
        <a:stretch>
          <a:fillRect/>
        </a:stretch>
      </xdr:blipFill>
      <xdr:spPr>
        <a:xfrm>
          <a:off x="10420350" y="1371600"/>
          <a:ext cx="400050" cy="200025"/>
        </a:xfrm>
        <a:prstGeom prst="rect">
          <a:avLst/>
        </a:prstGeom>
      </xdr:spPr>
    </xdr:pic>
    <xdr:clientData/>
  </xdr:twoCellAnchor>
  <xdr:twoCellAnchor editAs="oneCell">
    <xdr:from>
      <xdr:col>41</xdr:col>
      <xdr:colOff>0</xdr:colOff>
      <xdr:row>12</xdr:row>
      <xdr:rowOff>0</xdr:rowOff>
    </xdr:from>
    <xdr:to>
      <xdr:col>41</xdr:col>
      <xdr:colOff>400050</xdr:colOff>
      <xdr:row>13</xdr:row>
      <xdr:rowOff>0</xdr:rowOff>
    </xdr:to>
    <xdr:pic>
      <xdr:nvPicPr>
        <xdr:cNvPr id="69" name="Grafik 68">
          <a:extLst>
            <a:ext uri="{FF2B5EF4-FFF2-40B4-BE49-F238E27FC236}">
              <a16:creationId xmlns:a16="http://schemas.microsoft.com/office/drawing/2014/main" id="{D73DB7EF-AFDB-470E-8E29-A99CC234DC5F}"/>
            </a:ext>
          </a:extLst>
        </xdr:cNvPr>
        <xdr:cNvPicPr>
          <a:picLocks noChangeAspect="1"/>
        </xdr:cNvPicPr>
      </xdr:nvPicPr>
      <xdr:blipFill>
        <a:blip xmlns:r="http://schemas.openxmlformats.org/officeDocument/2006/relationships" r:embed="rId10"/>
        <a:stretch>
          <a:fillRect/>
        </a:stretch>
      </xdr:blipFill>
      <xdr:spPr>
        <a:xfrm>
          <a:off x="10420350" y="2095500"/>
          <a:ext cx="400050" cy="200025"/>
        </a:xfrm>
        <a:prstGeom prst="rect">
          <a:avLst/>
        </a:prstGeom>
      </xdr:spPr>
    </xdr:pic>
    <xdr:clientData/>
  </xdr:twoCellAnchor>
  <xdr:twoCellAnchor editAs="oneCell">
    <xdr:from>
      <xdr:col>43</xdr:col>
      <xdr:colOff>0</xdr:colOff>
      <xdr:row>16</xdr:row>
      <xdr:rowOff>0</xdr:rowOff>
    </xdr:from>
    <xdr:to>
      <xdr:col>43</xdr:col>
      <xdr:colOff>400050</xdr:colOff>
      <xdr:row>17</xdr:row>
      <xdr:rowOff>0</xdr:rowOff>
    </xdr:to>
    <xdr:pic>
      <xdr:nvPicPr>
        <xdr:cNvPr id="70" name="Grafik 69">
          <a:extLst>
            <a:ext uri="{FF2B5EF4-FFF2-40B4-BE49-F238E27FC236}">
              <a16:creationId xmlns:a16="http://schemas.microsoft.com/office/drawing/2014/main" id="{79633A8B-2D47-4E0D-A312-404D29257B0B}"/>
            </a:ext>
          </a:extLst>
        </xdr:cNvPr>
        <xdr:cNvPicPr>
          <a:picLocks noChangeAspect="1"/>
        </xdr:cNvPicPr>
      </xdr:nvPicPr>
      <xdr:blipFill>
        <a:blip xmlns:r="http://schemas.openxmlformats.org/officeDocument/2006/relationships" r:embed="rId10"/>
        <a:stretch>
          <a:fillRect/>
        </a:stretch>
      </xdr:blipFill>
      <xdr:spPr>
        <a:xfrm>
          <a:off x="11849100" y="2819400"/>
          <a:ext cx="400050" cy="200025"/>
        </a:xfrm>
        <a:prstGeom prst="rect">
          <a:avLst/>
        </a:prstGeom>
      </xdr:spPr>
    </xdr:pic>
    <xdr:clientData/>
  </xdr:twoCellAnchor>
  <xdr:twoCellAnchor editAs="oneCell">
    <xdr:from>
      <xdr:col>43</xdr:col>
      <xdr:colOff>0</xdr:colOff>
      <xdr:row>8</xdr:row>
      <xdr:rowOff>0</xdr:rowOff>
    </xdr:from>
    <xdr:to>
      <xdr:col>43</xdr:col>
      <xdr:colOff>314325</xdr:colOff>
      <xdr:row>9</xdr:row>
      <xdr:rowOff>38703</xdr:rowOff>
    </xdr:to>
    <xdr:pic>
      <xdr:nvPicPr>
        <xdr:cNvPr id="71" name="Grafik 70">
          <a:extLst>
            <a:ext uri="{FF2B5EF4-FFF2-40B4-BE49-F238E27FC236}">
              <a16:creationId xmlns:a16="http://schemas.microsoft.com/office/drawing/2014/main" id="{B1C7EF53-27F0-4926-8816-01A7E5F49C6F}"/>
            </a:ext>
          </a:extLst>
        </xdr:cNvPr>
        <xdr:cNvPicPr>
          <a:picLocks noChangeAspect="1"/>
        </xdr:cNvPicPr>
      </xdr:nvPicPr>
      <xdr:blipFill>
        <a:blip xmlns:r="http://schemas.openxmlformats.org/officeDocument/2006/relationships" r:embed="rId11"/>
        <a:stretch>
          <a:fillRect/>
        </a:stretch>
      </xdr:blipFill>
      <xdr:spPr>
        <a:xfrm>
          <a:off x="11849100" y="1371600"/>
          <a:ext cx="314325" cy="238728"/>
        </a:xfrm>
        <a:prstGeom prst="rect">
          <a:avLst/>
        </a:prstGeom>
      </xdr:spPr>
    </xdr:pic>
    <xdr:clientData/>
  </xdr:twoCellAnchor>
  <xdr:twoCellAnchor editAs="oneCell">
    <xdr:from>
      <xdr:col>41</xdr:col>
      <xdr:colOff>0</xdr:colOff>
      <xdr:row>14</xdr:row>
      <xdr:rowOff>0</xdr:rowOff>
    </xdr:from>
    <xdr:to>
      <xdr:col>41</xdr:col>
      <xdr:colOff>314325</xdr:colOff>
      <xdr:row>15</xdr:row>
      <xdr:rowOff>38703</xdr:rowOff>
    </xdr:to>
    <xdr:pic>
      <xdr:nvPicPr>
        <xdr:cNvPr id="72" name="Grafik 71">
          <a:extLst>
            <a:ext uri="{FF2B5EF4-FFF2-40B4-BE49-F238E27FC236}">
              <a16:creationId xmlns:a16="http://schemas.microsoft.com/office/drawing/2014/main" id="{76F33DB9-5C96-41B5-A056-CA54DDEA5D10}"/>
            </a:ext>
          </a:extLst>
        </xdr:cNvPr>
        <xdr:cNvPicPr>
          <a:picLocks noChangeAspect="1"/>
        </xdr:cNvPicPr>
      </xdr:nvPicPr>
      <xdr:blipFill>
        <a:blip xmlns:r="http://schemas.openxmlformats.org/officeDocument/2006/relationships" r:embed="rId11"/>
        <a:stretch>
          <a:fillRect/>
        </a:stretch>
      </xdr:blipFill>
      <xdr:spPr>
        <a:xfrm>
          <a:off x="10420350" y="2457450"/>
          <a:ext cx="314325" cy="238728"/>
        </a:xfrm>
        <a:prstGeom prst="rect">
          <a:avLst/>
        </a:prstGeom>
      </xdr:spPr>
    </xdr:pic>
    <xdr:clientData/>
  </xdr:twoCellAnchor>
  <xdr:twoCellAnchor editAs="oneCell">
    <xdr:from>
      <xdr:col>41</xdr:col>
      <xdr:colOff>0</xdr:colOff>
      <xdr:row>18</xdr:row>
      <xdr:rowOff>0</xdr:rowOff>
    </xdr:from>
    <xdr:to>
      <xdr:col>41</xdr:col>
      <xdr:colOff>314325</xdr:colOff>
      <xdr:row>19</xdr:row>
      <xdr:rowOff>38703</xdr:rowOff>
    </xdr:to>
    <xdr:pic>
      <xdr:nvPicPr>
        <xdr:cNvPr id="73" name="Grafik 72">
          <a:extLst>
            <a:ext uri="{FF2B5EF4-FFF2-40B4-BE49-F238E27FC236}">
              <a16:creationId xmlns:a16="http://schemas.microsoft.com/office/drawing/2014/main" id="{9DDA613C-D17F-4DA0-AE59-E564D78F54DD}"/>
            </a:ext>
          </a:extLst>
        </xdr:cNvPr>
        <xdr:cNvPicPr>
          <a:picLocks noChangeAspect="1"/>
        </xdr:cNvPicPr>
      </xdr:nvPicPr>
      <xdr:blipFill>
        <a:blip xmlns:r="http://schemas.openxmlformats.org/officeDocument/2006/relationships" r:embed="rId11"/>
        <a:stretch>
          <a:fillRect/>
        </a:stretch>
      </xdr:blipFill>
      <xdr:spPr>
        <a:xfrm>
          <a:off x="10420350" y="3181350"/>
          <a:ext cx="314325" cy="238728"/>
        </a:xfrm>
        <a:prstGeom prst="rect">
          <a:avLst/>
        </a:prstGeom>
      </xdr:spPr>
    </xdr:pic>
    <xdr:clientData/>
  </xdr:twoCellAnchor>
  <xdr:twoCellAnchor editAs="oneCell">
    <xdr:from>
      <xdr:col>43</xdr:col>
      <xdr:colOff>0</xdr:colOff>
      <xdr:row>10</xdr:row>
      <xdr:rowOff>0</xdr:rowOff>
    </xdr:from>
    <xdr:to>
      <xdr:col>43</xdr:col>
      <xdr:colOff>333375</xdr:colOff>
      <xdr:row>11</xdr:row>
      <xdr:rowOff>0</xdr:rowOff>
    </xdr:to>
    <xdr:pic>
      <xdr:nvPicPr>
        <xdr:cNvPr id="74" name="Grafik 73">
          <a:extLst>
            <a:ext uri="{FF2B5EF4-FFF2-40B4-BE49-F238E27FC236}">
              <a16:creationId xmlns:a16="http://schemas.microsoft.com/office/drawing/2014/main" id="{FD297B6A-B182-4D78-9B86-3DADAD4928EC}"/>
            </a:ext>
          </a:extLst>
        </xdr:cNvPr>
        <xdr:cNvPicPr>
          <a:picLocks noChangeAspect="1"/>
        </xdr:cNvPicPr>
      </xdr:nvPicPr>
      <xdr:blipFill>
        <a:blip xmlns:r="http://schemas.openxmlformats.org/officeDocument/2006/relationships" r:embed="rId12"/>
        <a:stretch>
          <a:fillRect/>
        </a:stretch>
      </xdr:blipFill>
      <xdr:spPr>
        <a:xfrm>
          <a:off x="11849100" y="1733550"/>
          <a:ext cx="333375" cy="200025"/>
        </a:xfrm>
        <a:prstGeom prst="rect">
          <a:avLst/>
        </a:prstGeom>
      </xdr:spPr>
    </xdr:pic>
    <xdr:clientData/>
  </xdr:twoCellAnchor>
  <xdr:twoCellAnchor editAs="oneCell">
    <xdr:from>
      <xdr:col>43</xdr:col>
      <xdr:colOff>0</xdr:colOff>
      <xdr:row>14</xdr:row>
      <xdr:rowOff>0</xdr:rowOff>
    </xdr:from>
    <xdr:to>
      <xdr:col>43</xdr:col>
      <xdr:colOff>333375</xdr:colOff>
      <xdr:row>15</xdr:row>
      <xdr:rowOff>0</xdr:rowOff>
    </xdr:to>
    <xdr:pic>
      <xdr:nvPicPr>
        <xdr:cNvPr id="75" name="Grafik 74">
          <a:extLst>
            <a:ext uri="{FF2B5EF4-FFF2-40B4-BE49-F238E27FC236}">
              <a16:creationId xmlns:a16="http://schemas.microsoft.com/office/drawing/2014/main" id="{B9811673-A443-48AB-9B16-863A38451524}"/>
            </a:ext>
          </a:extLst>
        </xdr:cNvPr>
        <xdr:cNvPicPr>
          <a:picLocks noChangeAspect="1"/>
        </xdr:cNvPicPr>
      </xdr:nvPicPr>
      <xdr:blipFill>
        <a:blip xmlns:r="http://schemas.openxmlformats.org/officeDocument/2006/relationships" r:embed="rId12"/>
        <a:stretch>
          <a:fillRect/>
        </a:stretch>
      </xdr:blipFill>
      <xdr:spPr>
        <a:xfrm>
          <a:off x="11849100" y="2457450"/>
          <a:ext cx="333375" cy="200025"/>
        </a:xfrm>
        <a:prstGeom prst="rect">
          <a:avLst/>
        </a:prstGeom>
      </xdr:spPr>
    </xdr:pic>
    <xdr:clientData/>
  </xdr:twoCellAnchor>
  <xdr:twoCellAnchor editAs="oneCell">
    <xdr:from>
      <xdr:col>41</xdr:col>
      <xdr:colOff>0</xdr:colOff>
      <xdr:row>16</xdr:row>
      <xdr:rowOff>0</xdr:rowOff>
    </xdr:from>
    <xdr:to>
      <xdr:col>41</xdr:col>
      <xdr:colOff>333375</xdr:colOff>
      <xdr:row>17</xdr:row>
      <xdr:rowOff>0</xdr:rowOff>
    </xdr:to>
    <xdr:pic>
      <xdr:nvPicPr>
        <xdr:cNvPr id="76" name="Grafik 75">
          <a:extLst>
            <a:ext uri="{FF2B5EF4-FFF2-40B4-BE49-F238E27FC236}">
              <a16:creationId xmlns:a16="http://schemas.microsoft.com/office/drawing/2014/main" id="{A1EE1F62-B136-41FF-A3DB-A5232E11A39D}"/>
            </a:ext>
          </a:extLst>
        </xdr:cNvPr>
        <xdr:cNvPicPr>
          <a:picLocks noChangeAspect="1"/>
        </xdr:cNvPicPr>
      </xdr:nvPicPr>
      <xdr:blipFill>
        <a:blip xmlns:r="http://schemas.openxmlformats.org/officeDocument/2006/relationships" r:embed="rId12"/>
        <a:stretch>
          <a:fillRect/>
        </a:stretch>
      </xdr:blipFill>
      <xdr:spPr>
        <a:xfrm>
          <a:off x="10420350" y="2819400"/>
          <a:ext cx="333375" cy="200025"/>
        </a:xfrm>
        <a:prstGeom prst="rect">
          <a:avLst/>
        </a:prstGeom>
      </xdr:spPr>
    </xdr:pic>
    <xdr:clientData/>
  </xdr:twoCellAnchor>
  <xdr:twoCellAnchor editAs="oneCell">
    <xdr:from>
      <xdr:col>41</xdr:col>
      <xdr:colOff>0</xdr:colOff>
      <xdr:row>10</xdr:row>
      <xdr:rowOff>0</xdr:rowOff>
    </xdr:from>
    <xdr:to>
      <xdr:col>41</xdr:col>
      <xdr:colOff>314325</xdr:colOff>
      <xdr:row>11</xdr:row>
      <xdr:rowOff>9525</xdr:rowOff>
    </xdr:to>
    <xdr:pic>
      <xdr:nvPicPr>
        <xdr:cNvPr id="77" name="Grafik 76">
          <a:extLst>
            <a:ext uri="{FF2B5EF4-FFF2-40B4-BE49-F238E27FC236}">
              <a16:creationId xmlns:a16="http://schemas.microsoft.com/office/drawing/2014/main" id="{33DE3D38-98C2-4D4F-A0B3-C561EE863991}"/>
            </a:ext>
          </a:extLst>
        </xdr:cNvPr>
        <xdr:cNvPicPr>
          <a:picLocks noChangeAspect="1"/>
        </xdr:cNvPicPr>
      </xdr:nvPicPr>
      <xdr:blipFill>
        <a:blip xmlns:r="http://schemas.openxmlformats.org/officeDocument/2006/relationships" r:embed="rId9"/>
        <a:stretch>
          <a:fillRect/>
        </a:stretch>
      </xdr:blipFill>
      <xdr:spPr>
        <a:xfrm>
          <a:off x="10420350" y="1733550"/>
          <a:ext cx="314325" cy="209550"/>
        </a:xfrm>
        <a:prstGeom prst="rect">
          <a:avLst/>
        </a:prstGeom>
      </xdr:spPr>
    </xdr:pic>
    <xdr:clientData/>
  </xdr:twoCellAnchor>
  <xdr:twoCellAnchor editAs="oneCell">
    <xdr:from>
      <xdr:col>43</xdr:col>
      <xdr:colOff>0</xdr:colOff>
      <xdr:row>12</xdr:row>
      <xdr:rowOff>0</xdr:rowOff>
    </xdr:from>
    <xdr:to>
      <xdr:col>43</xdr:col>
      <xdr:colOff>314325</xdr:colOff>
      <xdr:row>13</xdr:row>
      <xdr:rowOff>9525</xdr:rowOff>
    </xdr:to>
    <xdr:pic>
      <xdr:nvPicPr>
        <xdr:cNvPr id="78" name="Grafik 77">
          <a:extLst>
            <a:ext uri="{FF2B5EF4-FFF2-40B4-BE49-F238E27FC236}">
              <a16:creationId xmlns:a16="http://schemas.microsoft.com/office/drawing/2014/main" id="{48C9B630-0AEE-4C7F-AE81-941C6304D008}"/>
            </a:ext>
          </a:extLst>
        </xdr:cNvPr>
        <xdr:cNvPicPr>
          <a:picLocks noChangeAspect="1"/>
        </xdr:cNvPicPr>
      </xdr:nvPicPr>
      <xdr:blipFill>
        <a:blip xmlns:r="http://schemas.openxmlformats.org/officeDocument/2006/relationships" r:embed="rId9"/>
        <a:stretch>
          <a:fillRect/>
        </a:stretch>
      </xdr:blipFill>
      <xdr:spPr>
        <a:xfrm>
          <a:off x="11849100" y="2095500"/>
          <a:ext cx="314325" cy="209550"/>
        </a:xfrm>
        <a:prstGeom prst="rect">
          <a:avLst/>
        </a:prstGeom>
      </xdr:spPr>
    </xdr:pic>
    <xdr:clientData/>
  </xdr:twoCellAnchor>
  <xdr:twoCellAnchor editAs="oneCell">
    <xdr:from>
      <xdr:col>43</xdr:col>
      <xdr:colOff>0</xdr:colOff>
      <xdr:row>18</xdr:row>
      <xdr:rowOff>0</xdr:rowOff>
    </xdr:from>
    <xdr:to>
      <xdr:col>43</xdr:col>
      <xdr:colOff>314325</xdr:colOff>
      <xdr:row>19</xdr:row>
      <xdr:rowOff>9525</xdr:rowOff>
    </xdr:to>
    <xdr:pic>
      <xdr:nvPicPr>
        <xdr:cNvPr id="79" name="Grafik 78">
          <a:extLst>
            <a:ext uri="{FF2B5EF4-FFF2-40B4-BE49-F238E27FC236}">
              <a16:creationId xmlns:a16="http://schemas.microsoft.com/office/drawing/2014/main" id="{90DB4472-D94B-46F0-8786-007121F3A863}"/>
            </a:ext>
          </a:extLst>
        </xdr:cNvPr>
        <xdr:cNvPicPr>
          <a:picLocks noChangeAspect="1"/>
        </xdr:cNvPicPr>
      </xdr:nvPicPr>
      <xdr:blipFill>
        <a:blip xmlns:r="http://schemas.openxmlformats.org/officeDocument/2006/relationships" r:embed="rId9"/>
        <a:stretch>
          <a:fillRect/>
        </a:stretch>
      </xdr:blipFill>
      <xdr:spPr>
        <a:xfrm>
          <a:off x="11849100" y="3181350"/>
          <a:ext cx="314325" cy="209550"/>
        </a:xfrm>
        <a:prstGeom prst="rect">
          <a:avLst/>
        </a:prstGeom>
      </xdr:spPr>
    </xdr:pic>
    <xdr:clientData/>
  </xdr:twoCellAnchor>
  <xdr:twoCellAnchor editAs="oneCell">
    <xdr:from>
      <xdr:col>1</xdr:col>
      <xdr:colOff>0</xdr:colOff>
      <xdr:row>32</xdr:row>
      <xdr:rowOff>0</xdr:rowOff>
    </xdr:from>
    <xdr:to>
      <xdr:col>1</xdr:col>
      <xdr:colOff>314325</xdr:colOff>
      <xdr:row>33</xdr:row>
      <xdr:rowOff>9525</xdr:rowOff>
    </xdr:to>
    <xdr:pic>
      <xdr:nvPicPr>
        <xdr:cNvPr id="120" name="Grafik 119">
          <a:extLst>
            <a:ext uri="{FF2B5EF4-FFF2-40B4-BE49-F238E27FC236}">
              <a16:creationId xmlns:a16="http://schemas.microsoft.com/office/drawing/2014/main" id="{8DFD453D-9DF8-4E51-8472-2F9907762A7B}"/>
            </a:ext>
          </a:extLst>
        </xdr:cNvPr>
        <xdr:cNvPicPr>
          <a:picLocks noChangeAspect="1"/>
        </xdr:cNvPicPr>
      </xdr:nvPicPr>
      <xdr:blipFill>
        <a:blip xmlns:r="http://schemas.openxmlformats.org/officeDocument/2006/relationships" r:embed="rId13"/>
        <a:stretch>
          <a:fillRect/>
        </a:stretch>
      </xdr:blipFill>
      <xdr:spPr>
        <a:xfrm>
          <a:off x="114300" y="5553075"/>
          <a:ext cx="314325" cy="209550"/>
        </a:xfrm>
        <a:prstGeom prst="rect">
          <a:avLst/>
        </a:prstGeom>
      </xdr:spPr>
    </xdr:pic>
    <xdr:clientData/>
  </xdr:twoCellAnchor>
  <xdr:twoCellAnchor editAs="oneCell">
    <xdr:from>
      <xdr:col>3</xdr:col>
      <xdr:colOff>0</xdr:colOff>
      <xdr:row>32</xdr:row>
      <xdr:rowOff>0</xdr:rowOff>
    </xdr:from>
    <xdr:to>
      <xdr:col>3</xdr:col>
      <xdr:colOff>314325</xdr:colOff>
      <xdr:row>33</xdr:row>
      <xdr:rowOff>9525</xdr:rowOff>
    </xdr:to>
    <xdr:pic>
      <xdr:nvPicPr>
        <xdr:cNvPr id="121" name="Grafik 120">
          <a:extLst>
            <a:ext uri="{FF2B5EF4-FFF2-40B4-BE49-F238E27FC236}">
              <a16:creationId xmlns:a16="http://schemas.microsoft.com/office/drawing/2014/main" id="{42737C24-4138-4854-A856-399DC32B63AF}"/>
            </a:ext>
          </a:extLst>
        </xdr:cNvPr>
        <xdr:cNvPicPr>
          <a:picLocks noChangeAspect="1"/>
        </xdr:cNvPicPr>
      </xdr:nvPicPr>
      <xdr:blipFill>
        <a:blip xmlns:r="http://schemas.openxmlformats.org/officeDocument/2006/relationships" r:embed="rId14"/>
        <a:stretch>
          <a:fillRect/>
        </a:stretch>
      </xdr:blipFill>
      <xdr:spPr>
        <a:xfrm>
          <a:off x="1543050" y="5553075"/>
          <a:ext cx="314325" cy="209550"/>
        </a:xfrm>
        <a:prstGeom prst="rect">
          <a:avLst/>
        </a:prstGeom>
      </xdr:spPr>
    </xdr:pic>
    <xdr:clientData/>
  </xdr:twoCellAnchor>
  <xdr:twoCellAnchor editAs="oneCell">
    <xdr:from>
      <xdr:col>3</xdr:col>
      <xdr:colOff>0</xdr:colOff>
      <xdr:row>30</xdr:row>
      <xdr:rowOff>0</xdr:rowOff>
    </xdr:from>
    <xdr:to>
      <xdr:col>3</xdr:col>
      <xdr:colOff>314325</xdr:colOff>
      <xdr:row>31</xdr:row>
      <xdr:rowOff>9525</xdr:rowOff>
    </xdr:to>
    <xdr:pic>
      <xdr:nvPicPr>
        <xdr:cNvPr id="122" name="Grafik 121">
          <a:extLst>
            <a:ext uri="{FF2B5EF4-FFF2-40B4-BE49-F238E27FC236}">
              <a16:creationId xmlns:a16="http://schemas.microsoft.com/office/drawing/2014/main" id="{120027A0-CAF7-4AF4-922E-53B8FE44A68E}"/>
            </a:ext>
          </a:extLst>
        </xdr:cNvPr>
        <xdr:cNvPicPr>
          <a:picLocks noChangeAspect="1"/>
        </xdr:cNvPicPr>
      </xdr:nvPicPr>
      <xdr:blipFill>
        <a:blip xmlns:r="http://schemas.openxmlformats.org/officeDocument/2006/relationships" r:embed="rId15"/>
        <a:stretch>
          <a:fillRect/>
        </a:stretch>
      </xdr:blipFill>
      <xdr:spPr>
        <a:xfrm>
          <a:off x="1543050" y="5191125"/>
          <a:ext cx="314325" cy="209550"/>
        </a:xfrm>
        <a:prstGeom prst="rect">
          <a:avLst/>
        </a:prstGeom>
      </xdr:spPr>
    </xdr:pic>
    <xdr:clientData/>
  </xdr:twoCellAnchor>
  <xdr:twoCellAnchor editAs="oneCell">
    <xdr:from>
      <xdr:col>3</xdr:col>
      <xdr:colOff>0</xdr:colOff>
      <xdr:row>36</xdr:row>
      <xdr:rowOff>0</xdr:rowOff>
    </xdr:from>
    <xdr:to>
      <xdr:col>3</xdr:col>
      <xdr:colOff>314325</xdr:colOff>
      <xdr:row>37</xdr:row>
      <xdr:rowOff>9525</xdr:rowOff>
    </xdr:to>
    <xdr:pic>
      <xdr:nvPicPr>
        <xdr:cNvPr id="123" name="Grafik 122">
          <a:extLst>
            <a:ext uri="{FF2B5EF4-FFF2-40B4-BE49-F238E27FC236}">
              <a16:creationId xmlns:a16="http://schemas.microsoft.com/office/drawing/2014/main" id="{371E01FC-E25F-4752-A7A0-22B7D87FF7A8}"/>
            </a:ext>
          </a:extLst>
        </xdr:cNvPr>
        <xdr:cNvPicPr>
          <a:picLocks noChangeAspect="1"/>
        </xdr:cNvPicPr>
      </xdr:nvPicPr>
      <xdr:blipFill>
        <a:blip xmlns:r="http://schemas.openxmlformats.org/officeDocument/2006/relationships" r:embed="rId15"/>
        <a:stretch>
          <a:fillRect/>
        </a:stretch>
      </xdr:blipFill>
      <xdr:spPr>
        <a:xfrm>
          <a:off x="1543050" y="6238875"/>
          <a:ext cx="314325" cy="209550"/>
        </a:xfrm>
        <a:prstGeom prst="rect">
          <a:avLst/>
        </a:prstGeom>
      </xdr:spPr>
    </xdr:pic>
    <xdr:clientData/>
  </xdr:twoCellAnchor>
  <xdr:twoCellAnchor editAs="oneCell">
    <xdr:from>
      <xdr:col>1</xdr:col>
      <xdr:colOff>0</xdr:colOff>
      <xdr:row>42</xdr:row>
      <xdr:rowOff>0</xdr:rowOff>
    </xdr:from>
    <xdr:to>
      <xdr:col>1</xdr:col>
      <xdr:colOff>314325</xdr:colOff>
      <xdr:row>43</xdr:row>
      <xdr:rowOff>9525</xdr:rowOff>
    </xdr:to>
    <xdr:pic>
      <xdr:nvPicPr>
        <xdr:cNvPr id="124" name="Grafik 123">
          <a:extLst>
            <a:ext uri="{FF2B5EF4-FFF2-40B4-BE49-F238E27FC236}">
              <a16:creationId xmlns:a16="http://schemas.microsoft.com/office/drawing/2014/main" id="{4A374FC3-0D00-4874-9A05-B5124AB79AF2}"/>
            </a:ext>
          </a:extLst>
        </xdr:cNvPr>
        <xdr:cNvPicPr>
          <a:picLocks noChangeAspect="1"/>
        </xdr:cNvPicPr>
      </xdr:nvPicPr>
      <xdr:blipFill>
        <a:blip xmlns:r="http://schemas.openxmlformats.org/officeDocument/2006/relationships" r:embed="rId15"/>
        <a:stretch>
          <a:fillRect/>
        </a:stretch>
      </xdr:blipFill>
      <xdr:spPr>
        <a:xfrm>
          <a:off x="114300" y="7324725"/>
          <a:ext cx="314325" cy="209550"/>
        </a:xfrm>
        <a:prstGeom prst="rect">
          <a:avLst/>
        </a:prstGeom>
      </xdr:spPr>
    </xdr:pic>
    <xdr:clientData/>
  </xdr:twoCellAnchor>
  <xdr:twoCellAnchor editAs="oneCell">
    <xdr:from>
      <xdr:col>1</xdr:col>
      <xdr:colOff>0</xdr:colOff>
      <xdr:row>44</xdr:row>
      <xdr:rowOff>0</xdr:rowOff>
    </xdr:from>
    <xdr:to>
      <xdr:col>1</xdr:col>
      <xdr:colOff>314325</xdr:colOff>
      <xdr:row>45</xdr:row>
      <xdr:rowOff>9525</xdr:rowOff>
    </xdr:to>
    <xdr:pic>
      <xdr:nvPicPr>
        <xdr:cNvPr id="125" name="Grafik 124">
          <a:extLst>
            <a:ext uri="{FF2B5EF4-FFF2-40B4-BE49-F238E27FC236}">
              <a16:creationId xmlns:a16="http://schemas.microsoft.com/office/drawing/2014/main" id="{8319DDAF-5776-4456-8132-044EDB0A080F}"/>
            </a:ext>
          </a:extLst>
        </xdr:cNvPr>
        <xdr:cNvPicPr>
          <a:picLocks noChangeAspect="1"/>
        </xdr:cNvPicPr>
      </xdr:nvPicPr>
      <xdr:blipFill>
        <a:blip xmlns:r="http://schemas.openxmlformats.org/officeDocument/2006/relationships" r:embed="rId15"/>
        <a:stretch>
          <a:fillRect/>
        </a:stretch>
      </xdr:blipFill>
      <xdr:spPr>
        <a:xfrm>
          <a:off x="114300" y="7686675"/>
          <a:ext cx="314325" cy="209550"/>
        </a:xfrm>
        <a:prstGeom prst="rect">
          <a:avLst/>
        </a:prstGeom>
      </xdr:spPr>
    </xdr:pic>
    <xdr:clientData/>
  </xdr:twoCellAnchor>
  <xdr:twoCellAnchor editAs="oneCell">
    <xdr:from>
      <xdr:col>1</xdr:col>
      <xdr:colOff>0</xdr:colOff>
      <xdr:row>38</xdr:row>
      <xdr:rowOff>0</xdr:rowOff>
    </xdr:from>
    <xdr:to>
      <xdr:col>1</xdr:col>
      <xdr:colOff>314325</xdr:colOff>
      <xdr:row>39</xdr:row>
      <xdr:rowOff>9525</xdr:rowOff>
    </xdr:to>
    <xdr:pic>
      <xdr:nvPicPr>
        <xdr:cNvPr id="126" name="Grafik 125">
          <a:extLst>
            <a:ext uri="{FF2B5EF4-FFF2-40B4-BE49-F238E27FC236}">
              <a16:creationId xmlns:a16="http://schemas.microsoft.com/office/drawing/2014/main" id="{8BF22F7A-4CA4-4371-B3FA-91449BE4AFE8}"/>
            </a:ext>
          </a:extLst>
        </xdr:cNvPr>
        <xdr:cNvPicPr>
          <a:picLocks noChangeAspect="1"/>
        </xdr:cNvPicPr>
      </xdr:nvPicPr>
      <xdr:blipFill>
        <a:blip xmlns:r="http://schemas.openxmlformats.org/officeDocument/2006/relationships" r:embed="rId13"/>
        <a:stretch>
          <a:fillRect/>
        </a:stretch>
      </xdr:blipFill>
      <xdr:spPr>
        <a:xfrm>
          <a:off x="114300" y="6600825"/>
          <a:ext cx="314325" cy="209550"/>
        </a:xfrm>
        <a:prstGeom prst="rect">
          <a:avLst/>
        </a:prstGeom>
      </xdr:spPr>
    </xdr:pic>
    <xdr:clientData/>
  </xdr:twoCellAnchor>
  <xdr:twoCellAnchor editAs="oneCell">
    <xdr:from>
      <xdr:col>3</xdr:col>
      <xdr:colOff>0</xdr:colOff>
      <xdr:row>40</xdr:row>
      <xdr:rowOff>0</xdr:rowOff>
    </xdr:from>
    <xdr:to>
      <xdr:col>3</xdr:col>
      <xdr:colOff>314325</xdr:colOff>
      <xdr:row>41</xdr:row>
      <xdr:rowOff>9525</xdr:rowOff>
    </xdr:to>
    <xdr:pic>
      <xdr:nvPicPr>
        <xdr:cNvPr id="127" name="Grafik 126">
          <a:extLst>
            <a:ext uri="{FF2B5EF4-FFF2-40B4-BE49-F238E27FC236}">
              <a16:creationId xmlns:a16="http://schemas.microsoft.com/office/drawing/2014/main" id="{94A77471-AFD9-4BD5-BA6C-56F4438CBB14}"/>
            </a:ext>
          </a:extLst>
        </xdr:cNvPr>
        <xdr:cNvPicPr>
          <a:picLocks noChangeAspect="1"/>
        </xdr:cNvPicPr>
      </xdr:nvPicPr>
      <xdr:blipFill>
        <a:blip xmlns:r="http://schemas.openxmlformats.org/officeDocument/2006/relationships" r:embed="rId13"/>
        <a:stretch>
          <a:fillRect/>
        </a:stretch>
      </xdr:blipFill>
      <xdr:spPr>
        <a:xfrm>
          <a:off x="1543050" y="6962775"/>
          <a:ext cx="314325" cy="209550"/>
        </a:xfrm>
        <a:prstGeom prst="rect">
          <a:avLst/>
        </a:prstGeom>
      </xdr:spPr>
    </xdr:pic>
    <xdr:clientData/>
  </xdr:twoCellAnchor>
  <xdr:twoCellAnchor editAs="oneCell">
    <xdr:from>
      <xdr:col>3</xdr:col>
      <xdr:colOff>0</xdr:colOff>
      <xdr:row>44</xdr:row>
      <xdr:rowOff>0</xdr:rowOff>
    </xdr:from>
    <xdr:to>
      <xdr:col>3</xdr:col>
      <xdr:colOff>314325</xdr:colOff>
      <xdr:row>45</xdr:row>
      <xdr:rowOff>9525</xdr:rowOff>
    </xdr:to>
    <xdr:pic>
      <xdr:nvPicPr>
        <xdr:cNvPr id="128" name="Grafik 127">
          <a:extLst>
            <a:ext uri="{FF2B5EF4-FFF2-40B4-BE49-F238E27FC236}">
              <a16:creationId xmlns:a16="http://schemas.microsoft.com/office/drawing/2014/main" id="{D338F83D-744D-45AA-9652-1C68C0AF31EA}"/>
            </a:ext>
          </a:extLst>
        </xdr:cNvPr>
        <xdr:cNvPicPr>
          <a:picLocks noChangeAspect="1"/>
        </xdr:cNvPicPr>
      </xdr:nvPicPr>
      <xdr:blipFill>
        <a:blip xmlns:r="http://schemas.openxmlformats.org/officeDocument/2006/relationships" r:embed="rId13"/>
        <a:stretch>
          <a:fillRect/>
        </a:stretch>
      </xdr:blipFill>
      <xdr:spPr>
        <a:xfrm>
          <a:off x="1543050" y="7686675"/>
          <a:ext cx="314325" cy="209550"/>
        </a:xfrm>
        <a:prstGeom prst="rect">
          <a:avLst/>
        </a:prstGeom>
      </xdr:spPr>
    </xdr:pic>
    <xdr:clientData/>
  </xdr:twoCellAnchor>
  <xdr:twoCellAnchor editAs="oneCell">
    <xdr:from>
      <xdr:col>1</xdr:col>
      <xdr:colOff>0</xdr:colOff>
      <xdr:row>46</xdr:row>
      <xdr:rowOff>0</xdr:rowOff>
    </xdr:from>
    <xdr:to>
      <xdr:col>1</xdr:col>
      <xdr:colOff>314325</xdr:colOff>
      <xdr:row>47</xdr:row>
      <xdr:rowOff>9525</xdr:rowOff>
    </xdr:to>
    <xdr:pic>
      <xdr:nvPicPr>
        <xdr:cNvPr id="129" name="Grafik 128">
          <a:extLst>
            <a:ext uri="{FF2B5EF4-FFF2-40B4-BE49-F238E27FC236}">
              <a16:creationId xmlns:a16="http://schemas.microsoft.com/office/drawing/2014/main" id="{39397F2D-39DC-4690-825E-97A845445A49}"/>
            </a:ext>
          </a:extLst>
        </xdr:cNvPr>
        <xdr:cNvPicPr>
          <a:picLocks noChangeAspect="1"/>
        </xdr:cNvPicPr>
      </xdr:nvPicPr>
      <xdr:blipFill>
        <a:blip xmlns:r="http://schemas.openxmlformats.org/officeDocument/2006/relationships" r:embed="rId14"/>
        <a:stretch>
          <a:fillRect/>
        </a:stretch>
      </xdr:blipFill>
      <xdr:spPr>
        <a:xfrm>
          <a:off x="114300" y="8048625"/>
          <a:ext cx="314325" cy="209550"/>
        </a:xfrm>
        <a:prstGeom prst="rect">
          <a:avLst/>
        </a:prstGeom>
      </xdr:spPr>
    </xdr:pic>
    <xdr:clientData/>
  </xdr:twoCellAnchor>
  <xdr:twoCellAnchor editAs="oneCell">
    <xdr:from>
      <xdr:col>3</xdr:col>
      <xdr:colOff>0</xdr:colOff>
      <xdr:row>42</xdr:row>
      <xdr:rowOff>0</xdr:rowOff>
    </xdr:from>
    <xdr:to>
      <xdr:col>3</xdr:col>
      <xdr:colOff>314325</xdr:colOff>
      <xdr:row>43</xdr:row>
      <xdr:rowOff>9525</xdr:rowOff>
    </xdr:to>
    <xdr:pic>
      <xdr:nvPicPr>
        <xdr:cNvPr id="130" name="Grafik 129">
          <a:extLst>
            <a:ext uri="{FF2B5EF4-FFF2-40B4-BE49-F238E27FC236}">
              <a16:creationId xmlns:a16="http://schemas.microsoft.com/office/drawing/2014/main" id="{14ED4FB4-747A-4B74-B931-8B452CC4A3FA}"/>
            </a:ext>
          </a:extLst>
        </xdr:cNvPr>
        <xdr:cNvPicPr>
          <a:picLocks noChangeAspect="1"/>
        </xdr:cNvPicPr>
      </xdr:nvPicPr>
      <xdr:blipFill>
        <a:blip xmlns:r="http://schemas.openxmlformats.org/officeDocument/2006/relationships" r:embed="rId14"/>
        <a:stretch>
          <a:fillRect/>
        </a:stretch>
      </xdr:blipFill>
      <xdr:spPr>
        <a:xfrm>
          <a:off x="1543050" y="7324725"/>
          <a:ext cx="314325" cy="209550"/>
        </a:xfrm>
        <a:prstGeom prst="rect">
          <a:avLst/>
        </a:prstGeom>
      </xdr:spPr>
    </xdr:pic>
    <xdr:clientData/>
  </xdr:twoCellAnchor>
  <xdr:twoCellAnchor editAs="oneCell">
    <xdr:from>
      <xdr:col>3</xdr:col>
      <xdr:colOff>0</xdr:colOff>
      <xdr:row>38</xdr:row>
      <xdr:rowOff>0</xdr:rowOff>
    </xdr:from>
    <xdr:to>
      <xdr:col>3</xdr:col>
      <xdr:colOff>314325</xdr:colOff>
      <xdr:row>39</xdr:row>
      <xdr:rowOff>9525</xdr:rowOff>
    </xdr:to>
    <xdr:pic>
      <xdr:nvPicPr>
        <xdr:cNvPr id="132" name="Grafik 131">
          <a:extLst>
            <a:ext uri="{FF2B5EF4-FFF2-40B4-BE49-F238E27FC236}">
              <a16:creationId xmlns:a16="http://schemas.microsoft.com/office/drawing/2014/main" id="{CCD6726D-F204-41C4-9DA9-A2F195E12C57}"/>
            </a:ext>
          </a:extLst>
        </xdr:cNvPr>
        <xdr:cNvPicPr>
          <a:picLocks noChangeAspect="1"/>
        </xdr:cNvPicPr>
      </xdr:nvPicPr>
      <xdr:blipFill>
        <a:blip xmlns:r="http://schemas.openxmlformats.org/officeDocument/2006/relationships" r:embed="rId14"/>
        <a:stretch>
          <a:fillRect/>
        </a:stretch>
      </xdr:blipFill>
      <xdr:spPr>
        <a:xfrm>
          <a:off x="1543050" y="6600825"/>
          <a:ext cx="314325" cy="209550"/>
        </a:xfrm>
        <a:prstGeom prst="rect">
          <a:avLst/>
        </a:prstGeom>
      </xdr:spPr>
    </xdr:pic>
    <xdr:clientData/>
  </xdr:twoCellAnchor>
  <xdr:twoCellAnchor editAs="oneCell">
    <xdr:from>
      <xdr:col>21</xdr:col>
      <xdr:colOff>0</xdr:colOff>
      <xdr:row>32</xdr:row>
      <xdr:rowOff>0</xdr:rowOff>
    </xdr:from>
    <xdr:to>
      <xdr:col>21</xdr:col>
      <xdr:colOff>314325</xdr:colOff>
      <xdr:row>33</xdr:row>
      <xdr:rowOff>9525</xdr:rowOff>
    </xdr:to>
    <xdr:pic>
      <xdr:nvPicPr>
        <xdr:cNvPr id="133" name="Grafik 132">
          <a:extLst>
            <a:ext uri="{FF2B5EF4-FFF2-40B4-BE49-F238E27FC236}">
              <a16:creationId xmlns:a16="http://schemas.microsoft.com/office/drawing/2014/main" id="{E988C29D-4DA4-4765-9F54-98C201D6D5B1}"/>
            </a:ext>
          </a:extLst>
        </xdr:cNvPr>
        <xdr:cNvPicPr>
          <a:picLocks noChangeAspect="1"/>
        </xdr:cNvPicPr>
      </xdr:nvPicPr>
      <xdr:blipFill>
        <a:blip xmlns:r="http://schemas.openxmlformats.org/officeDocument/2006/relationships" r:embed="rId16"/>
        <a:stretch>
          <a:fillRect/>
        </a:stretch>
      </xdr:blipFill>
      <xdr:spPr>
        <a:xfrm>
          <a:off x="5267325" y="5553075"/>
          <a:ext cx="314325" cy="209550"/>
        </a:xfrm>
        <a:prstGeom prst="rect">
          <a:avLst/>
        </a:prstGeom>
      </xdr:spPr>
    </xdr:pic>
    <xdr:clientData/>
  </xdr:twoCellAnchor>
  <xdr:twoCellAnchor editAs="oneCell">
    <xdr:from>
      <xdr:col>21</xdr:col>
      <xdr:colOff>0</xdr:colOff>
      <xdr:row>30</xdr:row>
      <xdr:rowOff>0</xdr:rowOff>
    </xdr:from>
    <xdr:to>
      <xdr:col>21</xdr:col>
      <xdr:colOff>238125</xdr:colOff>
      <xdr:row>31</xdr:row>
      <xdr:rowOff>7040</xdr:rowOff>
    </xdr:to>
    <xdr:pic>
      <xdr:nvPicPr>
        <xdr:cNvPr id="134" name="Grafik 133">
          <a:extLst>
            <a:ext uri="{FF2B5EF4-FFF2-40B4-BE49-F238E27FC236}">
              <a16:creationId xmlns:a16="http://schemas.microsoft.com/office/drawing/2014/main" id="{56DAD63E-D469-4074-BF8B-241EC9B32FB8}"/>
            </a:ext>
          </a:extLst>
        </xdr:cNvPr>
        <xdr:cNvPicPr>
          <a:picLocks noChangeAspect="1"/>
        </xdr:cNvPicPr>
      </xdr:nvPicPr>
      <xdr:blipFill>
        <a:blip xmlns:r="http://schemas.openxmlformats.org/officeDocument/2006/relationships" r:embed="rId17"/>
        <a:stretch>
          <a:fillRect/>
        </a:stretch>
      </xdr:blipFill>
      <xdr:spPr>
        <a:xfrm>
          <a:off x="5267325" y="5191125"/>
          <a:ext cx="238125" cy="207065"/>
        </a:xfrm>
        <a:prstGeom prst="rect">
          <a:avLst/>
        </a:prstGeom>
      </xdr:spPr>
    </xdr:pic>
    <xdr:clientData/>
  </xdr:twoCellAnchor>
  <xdr:twoCellAnchor editAs="oneCell">
    <xdr:from>
      <xdr:col>23</xdr:col>
      <xdr:colOff>0</xdr:colOff>
      <xdr:row>30</xdr:row>
      <xdr:rowOff>0</xdr:rowOff>
    </xdr:from>
    <xdr:to>
      <xdr:col>23</xdr:col>
      <xdr:colOff>314325</xdr:colOff>
      <xdr:row>31</xdr:row>
      <xdr:rowOff>9525</xdr:rowOff>
    </xdr:to>
    <xdr:pic>
      <xdr:nvPicPr>
        <xdr:cNvPr id="136" name="Grafik 135">
          <a:extLst>
            <a:ext uri="{FF2B5EF4-FFF2-40B4-BE49-F238E27FC236}">
              <a16:creationId xmlns:a16="http://schemas.microsoft.com/office/drawing/2014/main" id="{EAF03F0D-4275-4F56-BDA7-42715AD92A43}"/>
            </a:ext>
          </a:extLst>
        </xdr:cNvPr>
        <xdr:cNvPicPr>
          <a:picLocks noChangeAspect="1"/>
        </xdr:cNvPicPr>
      </xdr:nvPicPr>
      <xdr:blipFill>
        <a:blip xmlns:r="http://schemas.openxmlformats.org/officeDocument/2006/relationships" r:embed="rId18"/>
        <a:stretch>
          <a:fillRect/>
        </a:stretch>
      </xdr:blipFill>
      <xdr:spPr>
        <a:xfrm>
          <a:off x="6696075" y="5191125"/>
          <a:ext cx="314325" cy="209550"/>
        </a:xfrm>
        <a:prstGeom prst="rect">
          <a:avLst/>
        </a:prstGeom>
      </xdr:spPr>
    </xdr:pic>
    <xdr:clientData/>
  </xdr:twoCellAnchor>
  <xdr:twoCellAnchor editAs="oneCell">
    <xdr:from>
      <xdr:col>23</xdr:col>
      <xdr:colOff>0</xdr:colOff>
      <xdr:row>38</xdr:row>
      <xdr:rowOff>0</xdr:rowOff>
    </xdr:from>
    <xdr:to>
      <xdr:col>23</xdr:col>
      <xdr:colOff>314325</xdr:colOff>
      <xdr:row>39</xdr:row>
      <xdr:rowOff>9525</xdr:rowOff>
    </xdr:to>
    <xdr:pic>
      <xdr:nvPicPr>
        <xdr:cNvPr id="138" name="Grafik 137">
          <a:extLst>
            <a:ext uri="{FF2B5EF4-FFF2-40B4-BE49-F238E27FC236}">
              <a16:creationId xmlns:a16="http://schemas.microsoft.com/office/drawing/2014/main" id="{53954BF0-922B-4F35-960F-55C7F46623A5}"/>
            </a:ext>
          </a:extLst>
        </xdr:cNvPr>
        <xdr:cNvPicPr>
          <a:picLocks noChangeAspect="1"/>
        </xdr:cNvPicPr>
      </xdr:nvPicPr>
      <xdr:blipFill>
        <a:blip xmlns:r="http://schemas.openxmlformats.org/officeDocument/2006/relationships" r:embed="rId18"/>
        <a:stretch>
          <a:fillRect/>
        </a:stretch>
      </xdr:blipFill>
      <xdr:spPr>
        <a:xfrm>
          <a:off x="6696075" y="6600825"/>
          <a:ext cx="314325" cy="209550"/>
        </a:xfrm>
        <a:prstGeom prst="rect">
          <a:avLst/>
        </a:prstGeom>
      </xdr:spPr>
    </xdr:pic>
    <xdr:clientData/>
  </xdr:twoCellAnchor>
  <xdr:twoCellAnchor editAs="oneCell">
    <xdr:from>
      <xdr:col>21</xdr:col>
      <xdr:colOff>0</xdr:colOff>
      <xdr:row>40</xdr:row>
      <xdr:rowOff>0</xdr:rowOff>
    </xdr:from>
    <xdr:to>
      <xdr:col>21</xdr:col>
      <xdr:colOff>314325</xdr:colOff>
      <xdr:row>41</xdr:row>
      <xdr:rowOff>9525</xdr:rowOff>
    </xdr:to>
    <xdr:pic>
      <xdr:nvPicPr>
        <xdr:cNvPr id="140" name="Grafik 139">
          <a:extLst>
            <a:ext uri="{FF2B5EF4-FFF2-40B4-BE49-F238E27FC236}">
              <a16:creationId xmlns:a16="http://schemas.microsoft.com/office/drawing/2014/main" id="{8500F492-9C3F-41C5-A4CB-6232F0835314}"/>
            </a:ext>
          </a:extLst>
        </xdr:cNvPr>
        <xdr:cNvPicPr>
          <a:picLocks noChangeAspect="1"/>
        </xdr:cNvPicPr>
      </xdr:nvPicPr>
      <xdr:blipFill>
        <a:blip xmlns:r="http://schemas.openxmlformats.org/officeDocument/2006/relationships" r:embed="rId18"/>
        <a:stretch>
          <a:fillRect/>
        </a:stretch>
      </xdr:blipFill>
      <xdr:spPr>
        <a:xfrm>
          <a:off x="5267325" y="6962775"/>
          <a:ext cx="314325" cy="209550"/>
        </a:xfrm>
        <a:prstGeom prst="rect">
          <a:avLst/>
        </a:prstGeom>
      </xdr:spPr>
    </xdr:pic>
    <xdr:clientData/>
  </xdr:twoCellAnchor>
  <xdr:twoCellAnchor editAs="oneCell">
    <xdr:from>
      <xdr:col>21</xdr:col>
      <xdr:colOff>0</xdr:colOff>
      <xdr:row>44</xdr:row>
      <xdr:rowOff>0</xdr:rowOff>
    </xdr:from>
    <xdr:to>
      <xdr:col>21</xdr:col>
      <xdr:colOff>314325</xdr:colOff>
      <xdr:row>45</xdr:row>
      <xdr:rowOff>9525</xdr:rowOff>
    </xdr:to>
    <xdr:pic>
      <xdr:nvPicPr>
        <xdr:cNvPr id="142" name="Grafik 141">
          <a:extLst>
            <a:ext uri="{FF2B5EF4-FFF2-40B4-BE49-F238E27FC236}">
              <a16:creationId xmlns:a16="http://schemas.microsoft.com/office/drawing/2014/main" id="{4C275831-D0E5-4879-9A38-BBB2E5166F2B}"/>
            </a:ext>
          </a:extLst>
        </xdr:cNvPr>
        <xdr:cNvPicPr>
          <a:picLocks noChangeAspect="1"/>
        </xdr:cNvPicPr>
      </xdr:nvPicPr>
      <xdr:blipFill>
        <a:blip xmlns:r="http://schemas.openxmlformats.org/officeDocument/2006/relationships" r:embed="rId18"/>
        <a:stretch>
          <a:fillRect/>
        </a:stretch>
      </xdr:blipFill>
      <xdr:spPr>
        <a:xfrm>
          <a:off x="5267325" y="7686675"/>
          <a:ext cx="314325" cy="209550"/>
        </a:xfrm>
        <a:prstGeom prst="rect">
          <a:avLst/>
        </a:prstGeom>
      </xdr:spPr>
    </xdr:pic>
    <xdr:clientData/>
  </xdr:twoCellAnchor>
  <xdr:twoCellAnchor editAs="oneCell">
    <xdr:from>
      <xdr:col>21</xdr:col>
      <xdr:colOff>0</xdr:colOff>
      <xdr:row>38</xdr:row>
      <xdr:rowOff>0</xdr:rowOff>
    </xdr:from>
    <xdr:to>
      <xdr:col>21</xdr:col>
      <xdr:colOff>238125</xdr:colOff>
      <xdr:row>39</xdr:row>
      <xdr:rowOff>7040</xdr:rowOff>
    </xdr:to>
    <xdr:pic>
      <xdr:nvPicPr>
        <xdr:cNvPr id="144" name="Grafik 143">
          <a:extLst>
            <a:ext uri="{FF2B5EF4-FFF2-40B4-BE49-F238E27FC236}">
              <a16:creationId xmlns:a16="http://schemas.microsoft.com/office/drawing/2014/main" id="{BCD528D4-6058-4ED6-9970-1B822631B29E}"/>
            </a:ext>
          </a:extLst>
        </xdr:cNvPr>
        <xdr:cNvPicPr>
          <a:picLocks noChangeAspect="1"/>
        </xdr:cNvPicPr>
      </xdr:nvPicPr>
      <xdr:blipFill>
        <a:blip xmlns:r="http://schemas.openxmlformats.org/officeDocument/2006/relationships" r:embed="rId17"/>
        <a:stretch>
          <a:fillRect/>
        </a:stretch>
      </xdr:blipFill>
      <xdr:spPr>
        <a:xfrm>
          <a:off x="5267325" y="6600825"/>
          <a:ext cx="238125" cy="207065"/>
        </a:xfrm>
        <a:prstGeom prst="rect">
          <a:avLst/>
        </a:prstGeom>
      </xdr:spPr>
    </xdr:pic>
    <xdr:clientData/>
  </xdr:twoCellAnchor>
  <xdr:twoCellAnchor editAs="oneCell">
    <xdr:from>
      <xdr:col>21</xdr:col>
      <xdr:colOff>0</xdr:colOff>
      <xdr:row>42</xdr:row>
      <xdr:rowOff>0</xdr:rowOff>
    </xdr:from>
    <xdr:to>
      <xdr:col>21</xdr:col>
      <xdr:colOff>238125</xdr:colOff>
      <xdr:row>43</xdr:row>
      <xdr:rowOff>7040</xdr:rowOff>
    </xdr:to>
    <xdr:pic>
      <xdr:nvPicPr>
        <xdr:cNvPr id="146" name="Grafik 145">
          <a:extLst>
            <a:ext uri="{FF2B5EF4-FFF2-40B4-BE49-F238E27FC236}">
              <a16:creationId xmlns:a16="http://schemas.microsoft.com/office/drawing/2014/main" id="{BB6E0C63-9BF9-4736-B86C-A3B9110F9CAC}"/>
            </a:ext>
          </a:extLst>
        </xdr:cNvPr>
        <xdr:cNvPicPr>
          <a:picLocks noChangeAspect="1"/>
        </xdr:cNvPicPr>
      </xdr:nvPicPr>
      <xdr:blipFill>
        <a:blip xmlns:r="http://schemas.openxmlformats.org/officeDocument/2006/relationships" r:embed="rId17"/>
        <a:stretch>
          <a:fillRect/>
        </a:stretch>
      </xdr:blipFill>
      <xdr:spPr>
        <a:xfrm>
          <a:off x="5267325" y="7324725"/>
          <a:ext cx="238125" cy="207065"/>
        </a:xfrm>
        <a:prstGeom prst="rect">
          <a:avLst/>
        </a:prstGeom>
      </xdr:spPr>
    </xdr:pic>
    <xdr:clientData/>
  </xdr:twoCellAnchor>
  <xdr:twoCellAnchor editAs="oneCell">
    <xdr:from>
      <xdr:col>23</xdr:col>
      <xdr:colOff>0</xdr:colOff>
      <xdr:row>46</xdr:row>
      <xdr:rowOff>0</xdr:rowOff>
    </xdr:from>
    <xdr:to>
      <xdr:col>23</xdr:col>
      <xdr:colOff>238125</xdr:colOff>
      <xdr:row>47</xdr:row>
      <xdr:rowOff>7040</xdr:rowOff>
    </xdr:to>
    <xdr:pic>
      <xdr:nvPicPr>
        <xdr:cNvPr id="151" name="Grafik 150">
          <a:extLst>
            <a:ext uri="{FF2B5EF4-FFF2-40B4-BE49-F238E27FC236}">
              <a16:creationId xmlns:a16="http://schemas.microsoft.com/office/drawing/2014/main" id="{B40CB401-BB0A-4E31-BAA6-654EBBA1E4F6}"/>
            </a:ext>
          </a:extLst>
        </xdr:cNvPr>
        <xdr:cNvPicPr>
          <a:picLocks noChangeAspect="1"/>
        </xdr:cNvPicPr>
      </xdr:nvPicPr>
      <xdr:blipFill>
        <a:blip xmlns:r="http://schemas.openxmlformats.org/officeDocument/2006/relationships" r:embed="rId17"/>
        <a:stretch>
          <a:fillRect/>
        </a:stretch>
      </xdr:blipFill>
      <xdr:spPr>
        <a:xfrm>
          <a:off x="6696075" y="8048625"/>
          <a:ext cx="238125" cy="207065"/>
        </a:xfrm>
        <a:prstGeom prst="rect">
          <a:avLst/>
        </a:prstGeom>
      </xdr:spPr>
    </xdr:pic>
    <xdr:clientData/>
  </xdr:twoCellAnchor>
  <xdr:twoCellAnchor editAs="oneCell">
    <xdr:from>
      <xdr:col>21</xdr:col>
      <xdr:colOff>0</xdr:colOff>
      <xdr:row>36</xdr:row>
      <xdr:rowOff>0</xdr:rowOff>
    </xdr:from>
    <xdr:to>
      <xdr:col>21</xdr:col>
      <xdr:colOff>314325</xdr:colOff>
      <xdr:row>37</xdr:row>
      <xdr:rowOff>9525</xdr:rowOff>
    </xdr:to>
    <xdr:pic>
      <xdr:nvPicPr>
        <xdr:cNvPr id="152" name="Grafik 151">
          <a:extLst>
            <a:ext uri="{FF2B5EF4-FFF2-40B4-BE49-F238E27FC236}">
              <a16:creationId xmlns:a16="http://schemas.microsoft.com/office/drawing/2014/main" id="{D8509085-78DB-4C09-91B1-02C5BE7116A9}"/>
            </a:ext>
          </a:extLst>
        </xdr:cNvPr>
        <xdr:cNvPicPr>
          <a:picLocks noChangeAspect="1"/>
        </xdr:cNvPicPr>
      </xdr:nvPicPr>
      <xdr:blipFill>
        <a:blip xmlns:r="http://schemas.openxmlformats.org/officeDocument/2006/relationships" r:embed="rId16"/>
        <a:stretch>
          <a:fillRect/>
        </a:stretch>
      </xdr:blipFill>
      <xdr:spPr>
        <a:xfrm>
          <a:off x="5267325" y="6238875"/>
          <a:ext cx="314325" cy="209550"/>
        </a:xfrm>
        <a:prstGeom prst="rect">
          <a:avLst/>
        </a:prstGeom>
      </xdr:spPr>
    </xdr:pic>
    <xdr:clientData/>
  </xdr:twoCellAnchor>
  <xdr:twoCellAnchor editAs="oneCell">
    <xdr:from>
      <xdr:col>23</xdr:col>
      <xdr:colOff>0</xdr:colOff>
      <xdr:row>42</xdr:row>
      <xdr:rowOff>0</xdr:rowOff>
    </xdr:from>
    <xdr:to>
      <xdr:col>23</xdr:col>
      <xdr:colOff>314325</xdr:colOff>
      <xdr:row>43</xdr:row>
      <xdr:rowOff>9525</xdr:rowOff>
    </xdr:to>
    <xdr:pic>
      <xdr:nvPicPr>
        <xdr:cNvPr id="153" name="Grafik 152">
          <a:extLst>
            <a:ext uri="{FF2B5EF4-FFF2-40B4-BE49-F238E27FC236}">
              <a16:creationId xmlns:a16="http://schemas.microsoft.com/office/drawing/2014/main" id="{4AB106DE-59FB-462C-9297-1915AA422FC1}"/>
            </a:ext>
          </a:extLst>
        </xdr:cNvPr>
        <xdr:cNvPicPr>
          <a:picLocks noChangeAspect="1"/>
        </xdr:cNvPicPr>
      </xdr:nvPicPr>
      <xdr:blipFill>
        <a:blip xmlns:r="http://schemas.openxmlformats.org/officeDocument/2006/relationships" r:embed="rId16"/>
        <a:stretch>
          <a:fillRect/>
        </a:stretch>
      </xdr:blipFill>
      <xdr:spPr>
        <a:xfrm>
          <a:off x="6696075" y="7324725"/>
          <a:ext cx="314325" cy="209550"/>
        </a:xfrm>
        <a:prstGeom prst="rect">
          <a:avLst/>
        </a:prstGeom>
      </xdr:spPr>
    </xdr:pic>
    <xdr:clientData/>
  </xdr:twoCellAnchor>
  <xdr:twoCellAnchor editAs="oneCell">
    <xdr:from>
      <xdr:col>23</xdr:col>
      <xdr:colOff>0</xdr:colOff>
      <xdr:row>44</xdr:row>
      <xdr:rowOff>0</xdr:rowOff>
    </xdr:from>
    <xdr:to>
      <xdr:col>23</xdr:col>
      <xdr:colOff>314325</xdr:colOff>
      <xdr:row>45</xdr:row>
      <xdr:rowOff>9525</xdr:rowOff>
    </xdr:to>
    <xdr:pic>
      <xdr:nvPicPr>
        <xdr:cNvPr id="154" name="Grafik 153">
          <a:extLst>
            <a:ext uri="{FF2B5EF4-FFF2-40B4-BE49-F238E27FC236}">
              <a16:creationId xmlns:a16="http://schemas.microsoft.com/office/drawing/2014/main" id="{63568AA7-6A16-49B4-8E23-FEB8CEE9A164}"/>
            </a:ext>
          </a:extLst>
        </xdr:cNvPr>
        <xdr:cNvPicPr>
          <a:picLocks noChangeAspect="1"/>
        </xdr:cNvPicPr>
      </xdr:nvPicPr>
      <xdr:blipFill>
        <a:blip xmlns:r="http://schemas.openxmlformats.org/officeDocument/2006/relationships" r:embed="rId16"/>
        <a:stretch>
          <a:fillRect/>
        </a:stretch>
      </xdr:blipFill>
      <xdr:spPr>
        <a:xfrm>
          <a:off x="6696075" y="7686675"/>
          <a:ext cx="314325" cy="209550"/>
        </a:xfrm>
        <a:prstGeom prst="rect">
          <a:avLst/>
        </a:prstGeom>
      </xdr:spPr>
    </xdr:pic>
    <xdr:clientData/>
  </xdr:twoCellAnchor>
  <xdr:twoCellAnchor editAs="oneCell">
    <xdr:from>
      <xdr:col>41</xdr:col>
      <xdr:colOff>0</xdr:colOff>
      <xdr:row>30</xdr:row>
      <xdr:rowOff>0</xdr:rowOff>
    </xdr:from>
    <xdr:to>
      <xdr:col>41</xdr:col>
      <xdr:colOff>314325</xdr:colOff>
      <xdr:row>31</xdr:row>
      <xdr:rowOff>9525</xdr:rowOff>
    </xdr:to>
    <xdr:pic>
      <xdr:nvPicPr>
        <xdr:cNvPr id="155" name="Grafik 154">
          <a:extLst>
            <a:ext uri="{FF2B5EF4-FFF2-40B4-BE49-F238E27FC236}">
              <a16:creationId xmlns:a16="http://schemas.microsoft.com/office/drawing/2014/main" id="{E51D0BD6-B57C-4B94-B9BD-C9D53308C507}"/>
            </a:ext>
          </a:extLst>
        </xdr:cNvPr>
        <xdr:cNvPicPr>
          <a:picLocks noChangeAspect="1"/>
        </xdr:cNvPicPr>
      </xdr:nvPicPr>
      <xdr:blipFill>
        <a:blip xmlns:r="http://schemas.openxmlformats.org/officeDocument/2006/relationships" r:embed="rId19"/>
        <a:stretch>
          <a:fillRect/>
        </a:stretch>
      </xdr:blipFill>
      <xdr:spPr>
        <a:xfrm>
          <a:off x="10420350" y="5191125"/>
          <a:ext cx="314325" cy="209550"/>
        </a:xfrm>
        <a:prstGeom prst="rect">
          <a:avLst/>
        </a:prstGeom>
      </xdr:spPr>
    </xdr:pic>
    <xdr:clientData/>
  </xdr:twoCellAnchor>
  <xdr:twoCellAnchor editAs="oneCell">
    <xdr:from>
      <xdr:col>41</xdr:col>
      <xdr:colOff>0</xdr:colOff>
      <xdr:row>32</xdr:row>
      <xdr:rowOff>0</xdr:rowOff>
    </xdr:from>
    <xdr:to>
      <xdr:col>41</xdr:col>
      <xdr:colOff>314325</xdr:colOff>
      <xdr:row>33</xdr:row>
      <xdr:rowOff>9525</xdr:rowOff>
    </xdr:to>
    <xdr:pic>
      <xdr:nvPicPr>
        <xdr:cNvPr id="156" name="Grafik 155">
          <a:extLst>
            <a:ext uri="{FF2B5EF4-FFF2-40B4-BE49-F238E27FC236}">
              <a16:creationId xmlns:a16="http://schemas.microsoft.com/office/drawing/2014/main" id="{797419BE-570D-4D1C-B416-59C415CE55CD}"/>
            </a:ext>
          </a:extLst>
        </xdr:cNvPr>
        <xdr:cNvPicPr>
          <a:picLocks noChangeAspect="1"/>
        </xdr:cNvPicPr>
      </xdr:nvPicPr>
      <xdr:blipFill>
        <a:blip xmlns:r="http://schemas.openxmlformats.org/officeDocument/2006/relationships" r:embed="rId20"/>
        <a:stretch>
          <a:fillRect/>
        </a:stretch>
      </xdr:blipFill>
      <xdr:spPr>
        <a:xfrm>
          <a:off x="10420350" y="5553075"/>
          <a:ext cx="314325" cy="209550"/>
        </a:xfrm>
        <a:prstGeom prst="rect">
          <a:avLst/>
        </a:prstGeom>
      </xdr:spPr>
    </xdr:pic>
    <xdr:clientData/>
  </xdr:twoCellAnchor>
  <xdr:twoCellAnchor editAs="oneCell">
    <xdr:from>
      <xdr:col>43</xdr:col>
      <xdr:colOff>0</xdr:colOff>
      <xdr:row>32</xdr:row>
      <xdr:rowOff>0</xdr:rowOff>
    </xdr:from>
    <xdr:to>
      <xdr:col>43</xdr:col>
      <xdr:colOff>314325</xdr:colOff>
      <xdr:row>33</xdr:row>
      <xdr:rowOff>9525</xdr:rowOff>
    </xdr:to>
    <xdr:pic>
      <xdr:nvPicPr>
        <xdr:cNvPr id="157" name="Grafik 156">
          <a:extLst>
            <a:ext uri="{FF2B5EF4-FFF2-40B4-BE49-F238E27FC236}">
              <a16:creationId xmlns:a16="http://schemas.microsoft.com/office/drawing/2014/main" id="{81F65878-2578-402B-80F6-F841AEA37367}"/>
            </a:ext>
          </a:extLst>
        </xdr:cNvPr>
        <xdr:cNvPicPr>
          <a:picLocks noChangeAspect="1"/>
        </xdr:cNvPicPr>
      </xdr:nvPicPr>
      <xdr:blipFill>
        <a:blip xmlns:r="http://schemas.openxmlformats.org/officeDocument/2006/relationships" r:embed="rId21"/>
        <a:stretch>
          <a:fillRect/>
        </a:stretch>
      </xdr:blipFill>
      <xdr:spPr>
        <a:xfrm>
          <a:off x="11849100" y="5553075"/>
          <a:ext cx="314325" cy="209550"/>
        </a:xfrm>
        <a:prstGeom prst="rect">
          <a:avLst/>
        </a:prstGeom>
      </xdr:spPr>
    </xdr:pic>
    <xdr:clientData/>
  </xdr:twoCellAnchor>
  <xdr:twoCellAnchor editAs="oneCell">
    <xdr:from>
      <xdr:col>43</xdr:col>
      <xdr:colOff>0</xdr:colOff>
      <xdr:row>38</xdr:row>
      <xdr:rowOff>0</xdr:rowOff>
    </xdr:from>
    <xdr:to>
      <xdr:col>43</xdr:col>
      <xdr:colOff>314325</xdr:colOff>
      <xdr:row>39</xdr:row>
      <xdr:rowOff>9525</xdr:rowOff>
    </xdr:to>
    <xdr:pic>
      <xdr:nvPicPr>
        <xdr:cNvPr id="158" name="Grafik 157">
          <a:extLst>
            <a:ext uri="{FF2B5EF4-FFF2-40B4-BE49-F238E27FC236}">
              <a16:creationId xmlns:a16="http://schemas.microsoft.com/office/drawing/2014/main" id="{FC5EF6C6-E966-4A45-829F-0032C84AB0BF}"/>
            </a:ext>
          </a:extLst>
        </xdr:cNvPr>
        <xdr:cNvPicPr>
          <a:picLocks noChangeAspect="1"/>
        </xdr:cNvPicPr>
      </xdr:nvPicPr>
      <xdr:blipFill>
        <a:blip xmlns:r="http://schemas.openxmlformats.org/officeDocument/2006/relationships" r:embed="rId21"/>
        <a:stretch>
          <a:fillRect/>
        </a:stretch>
      </xdr:blipFill>
      <xdr:spPr>
        <a:xfrm>
          <a:off x="11849100" y="6600825"/>
          <a:ext cx="314325" cy="209550"/>
        </a:xfrm>
        <a:prstGeom prst="rect">
          <a:avLst/>
        </a:prstGeom>
      </xdr:spPr>
    </xdr:pic>
    <xdr:clientData/>
  </xdr:twoCellAnchor>
  <xdr:twoCellAnchor editAs="oneCell">
    <xdr:from>
      <xdr:col>43</xdr:col>
      <xdr:colOff>0</xdr:colOff>
      <xdr:row>40</xdr:row>
      <xdr:rowOff>0</xdr:rowOff>
    </xdr:from>
    <xdr:to>
      <xdr:col>43</xdr:col>
      <xdr:colOff>314325</xdr:colOff>
      <xdr:row>41</xdr:row>
      <xdr:rowOff>9525</xdr:rowOff>
    </xdr:to>
    <xdr:pic>
      <xdr:nvPicPr>
        <xdr:cNvPr id="159" name="Grafik 158">
          <a:extLst>
            <a:ext uri="{FF2B5EF4-FFF2-40B4-BE49-F238E27FC236}">
              <a16:creationId xmlns:a16="http://schemas.microsoft.com/office/drawing/2014/main" id="{FEEF1479-B5B6-47D8-B6B3-282A1D0C1D3F}"/>
            </a:ext>
          </a:extLst>
        </xdr:cNvPr>
        <xdr:cNvPicPr>
          <a:picLocks noChangeAspect="1"/>
        </xdr:cNvPicPr>
      </xdr:nvPicPr>
      <xdr:blipFill>
        <a:blip xmlns:r="http://schemas.openxmlformats.org/officeDocument/2006/relationships" r:embed="rId21"/>
        <a:stretch>
          <a:fillRect/>
        </a:stretch>
      </xdr:blipFill>
      <xdr:spPr>
        <a:xfrm>
          <a:off x="11849100" y="6962775"/>
          <a:ext cx="314325" cy="209550"/>
        </a:xfrm>
        <a:prstGeom prst="rect">
          <a:avLst/>
        </a:prstGeom>
      </xdr:spPr>
    </xdr:pic>
    <xdr:clientData/>
  </xdr:twoCellAnchor>
  <xdr:twoCellAnchor editAs="oneCell">
    <xdr:from>
      <xdr:col>41</xdr:col>
      <xdr:colOff>0</xdr:colOff>
      <xdr:row>46</xdr:row>
      <xdr:rowOff>0</xdr:rowOff>
    </xdr:from>
    <xdr:to>
      <xdr:col>41</xdr:col>
      <xdr:colOff>314325</xdr:colOff>
      <xdr:row>47</xdr:row>
      <xdr:rowOff>9525</xdr:rowOff>
    </xdr:to>
    <xdr:pic>
      <xdr:nvPicPr>
        <xdr:cNvPr id="160" name="Grafik 159">
          <a:extLst>
            <a:ext uri="{FF2B5EF4-FFF2-40B4-BE49-F238E27FC236}">
              <a16:creationId xmlns:a16="http://schemas.microsoft.com/office/drawing/2014/main" id="{416F5476-77D7-4002-9E68-1FE90F502A7A}"/>
            </a:ext>
          </a:extLst>
        </xdr:cNvPr>
        <xdr:cNvPicPr>
          <a:picLocks noChangeAspect="1"/>
        </xdr:cNvPicPr>
      </xdr:nvPicPr>
      <xdr:blipFill>
        <a:blip xmlns:r="http://schemas.openxmlformats.org/officeDocument/2006/relationships" r:embed="rId21"/>
        <a:stretch>
          <a:fillRect/>
        </a:stretch>
      </xdr:blipFill>
      <xdr:spPr>
        <a:xfrm>
          <a:off x="10420350" y="8048625"/>
          <a:ext cx="314325" cy="209550"/>
        </a:xfrm>
        <a:prstGeom prst="rect">
          <a:avLst/>
        </a:prstGeom>
      </xdr:spPr>
    </xdr:pic>
    <xdr:clientData/>
  </xdr:twoCellAnchor>
  <xdr:twoCellAnchor editAs="oneCell">
    <xdr:from>
      <xdr:col>41</xdr:col>
      <xdr:colOff>0</xdr:colOff>
      <xdr:row>36</xdr:row>
      <xdr:rowOff>0</xdr:rowOff>
    </xdr:from>
    <xdr:to>
      <xdr:col>41</xdr:col>
      <xdr:colOff>314325</xdr:colOff>
      <xdr:row>37</xdr:row>
      <xdr:rowOff>9525</xdr:rowOff>
    </xdr:to>
    <xdr:pic>
      <xdr:nvPicPr>
        <xdr:cNvPr id="161" name="Grafik 160">
          <a:extLst>
            <a:ext uri="{FF2B5EF4-FFF2-40B4-BE49-F238E27FC236}">
              <a16:creationId xmlns:a16="http://schemas.microsoft.com/office/drawing/2014/main" id="{7AE4AF65-69F7-47D4-AF69-86B44CD59A52}"/>
            </a:ext>
          </a:extLst>
        </xdr:cNvPr>
        <xdr:cNvPicPr>
          <a:picLocks noChangeAspect="1"/>
        </xdr:cNvPicPr>
      </xdr:nvPicPr>
      <xdr:blipFill>
        <a:blip xmlns:r="http://schemas.openxmlformats.org/officeDocument/2006/relationships" r:embed="rId19"/>
        <a:stretch>
          <a:fillRect/>
        </a:stretch>
      </xdr:blipFill>
      <xdr:spPr>
        <a:xfrm>
          <a:off x="10420350" y="6238875"/>
          <a:ext cx="314325" cy="209550"/>
        </a:xfrm>
        <a:prstGeom prst="rect">
          <a:avLst/>
        </a:prstGeom>
      </xdr:spPr>
    </xdr:pic>
    <xdr:clientData/>
  </xdr:twoCellAnchor>
  <xdr:twoCellAnchor editAs="oneCell">
    <xdr:from>
      <xdr:col>41</xdr:col>
      <xdr:colOff>0</xdr:colOff>
      <xdr:row>42</xdr:row>
      <xdr:rowOff>0</xdr:rowOff>
    </xdr:from>
    <xdr:to>
      <xdr:col>41</xdr:col>
      <xdr:colOff>314325</xdr:colOff>
      <xdr:row>43</xdr:row>
      <xdr:rowOff>9525</xdr:rowOff>
    </xdr:to>
    <xdr:pic>
      <xdr:nvPicPr>
        <xdr:cNvPr id="162" name="Grafik 161">
          <a:extLst>
            <a:ext uri="{FF2B5EF4-FFF2-40B4-BE49-F238E27FC236}">
              <a16:creationId xmlns:a16="http://schemas.microsoft.com/office/drawing/2014/main" id="{864DA6FF-E3B6-4006-B94D-865277B6F729}"/>
            </a:ext>
          </a:extLst>
        </xdr:cNvPr>
        <xdr:cNvPicPr>
          <a:picLocks noChangeAspect="1"/>
        </xdr:cNvPicPr>
      </xdr:nvPicPr>
      <xdr:blipFill>
        <a:blip xmlns:r="http://schemas.openxmlformats.org/officeDocument/2006/relationships" r:embed="rId19"/>
        <a:stretch>
          <a:fillRect/>
        </a:stretch>
      </xdr:blipFill>
      <xdr:spPr>
        <a:xfrm>
          <a:off x="10420350" y="7324725"/>
          <a:ext cx="314325" cy="209550"/>
        </a:xfrm>
        <a:prstGeom prst="rect">
          <a:avLst/>
        </a:prstGeom>
      </xdr:spPr>
    </xdr:pic>
    <xdr:clientData/>
  </xdr:twoCellAnchor>
  <xdr:twoCellAnchor editAs="oneCell">
    <xdr:from>
      <xdr:col>43</xdr:col>
      <xdr:colOff>0</xdr:colOff>
      <xdr:row>46</xdr:row>
      <xdr:rowOff>0</xdr:rowOff>
    </xdr:from>
    <xdr:to>
      <xdr:col>43</xdr:col>
      <xdr:colOff>314325</xdr:colOff>
      <xdr:row>47</xdr:row>
      <xdr:rowOff>9525</xdr:rowOff>
    </xdr:to>
    <xdr:pic>
      <xdr:nvPicPr>
        <xdr:cNvPr id="163" name="Grafik 162">
          <a:extLst>
            <a:ext uri="{FF2B5EF4-FFF2-40B4-BE49-F238E27FC236}">
              <a16:creationId xmlns:a16="http://schemas.microsoft.com/office/drawing/2014/main" id="{EB38D279-FEAA-4FDF-8B85-BA3B4EC1AD4C}"/>
            </a:ext>
          </a:extLst>
        </xdr:cNvPr>
        <xdr:cNvPicPr>
          <a:picLocks noChangeAspect="1"/>
        </xdr:cNvPicPr>
      </xdr:nvPicPr>
      <xdr:blipFill>
        <a:blip xmlns:r="http://schemas.openxmlformats.org/officeDocument/2006/relationships" r:embed="rId19"/>
        <a:stretch>
          <a:fillRect/>
        </a:stretch>
      </xdr:blipFill>
      <xdr:spPr>
        <a:xfrm>
          <a:off x="11849100" y="8048625"/>
          <a:ext cx="314325" cy="209550"/>
        </a:xfrm>
        <a:prstGeom prst="rect">
          <a:avLst/>
        </a:prstGeom>
      </xdr:spPr>
    </xdr:pic>
    <xdr:clientData/>
  </xdr:twoCellAnchor>
  <xdr:twoCellAnchor editAs="oneCell">
    <xdr:from>
      <xdr:col>41</xdr:col>
      <xdr:colOff>0</xdr:colOff>
      <xdr:row>38</xdr:row>
      <xdr:rowOff>0</xdr:rowOff>
    </xdr:from>
    <xdr:to>
      <xdr:col>41</xdr:col>
      <xdr:colOff>314325</xdr:colOff>
      <xdr:row>39</xdr:row>
      <xdr:rowOff>9525</xdr:rowOff>
    </xdr:to>
    <xdr:pic>
      <xdr:nvPicPr>
        <xdr:cNvPr id="165" name="Grafik 164">
          <a:extLst>
            <a:ext uri="{FF2B5EF4-FFF2-40B4-BE49-F238E27FC236}">
              <a16:creationId xmlns:a16="http://schemas.microsoft.com/office/drawing/2014/main" id="{8E87ECE3-D1E6-4C80-8F9F-47511EC287E5}"/>
            </a:ext>
          </a:extLst>
        </xdr:cNvPr>
        <xdr:cNvPicPr>
          <a:picLocks noChangeAspect="1"/>
        </xdr:cNvPicPr>
      </xdr:nvPicPr>
      <xdr:blipFill>
        <a:blip xmlns:r="http://schemas.openxmlformats.org/officeDocument/2006/relationships" r:embed="rId20"/>
        <a:stretch>
          <a:fillRect/>
        </a:stretch>
      </xdr:blipFill>
      <xdr:spPr>
        <a:xfrm>
          <a:off x="10420350" y="6600825"/>
          <a:ext cx="314325" cy="209550"/>
        </a:xfrm>
        <a:prstGeom prst="rect">
          <a:avLst/>
        </a:prstGeom>
      </xdr:spPr>
    </xdr:pic>
    <xdr:clientData/>
  </xdr:twoCellAnchor>
  <xdr:twoCellAnchor editAs="oneCell">
    <xdr:from>
      <xdr:col>43</xdr:col>
      <xdr:colOff>0</xdr:colOff>
      <xdr:row>42</xdr:row>
      <xdr:rowOff>0</xdr:rowOff>
    </xdr:from>
    <xdr:to>
      <xdr:col>43</xdr:col>
      <xdr:colOff>314325</xdr:colOff>
      <xdr:row>43</xdr:row>
      <xdr:rowOff>9525</xdr:rowOff>
    </xdr:to>
    <xdr:pic>
      <xdr:nvPicPr>
        <xdr:cNvPr id="166" name="Grafik 165">
          <a:extLst>
            <a:ext uri="{FF2B5EF4-FFF2-40B4-BE49-F238E27FC236}">
              <a16:creationId xmlns:a16="http://schemas.microsoft.com/office/drawing/2014/main" id="{DC6C4DB5-07F4-4E60-978E-D10067C7CF09}"/>
            </a:ext>
          </a:extLst>
        </xdr:cNvPr>
        <xdr:cNvPicPr>
          <a:picLocks noChangeAspect="1"/>
        </xdr:cNvPicPr>
      </xdr:nvPicPr>
      <xdr:blipFill>
        <a:blip xmlns:r="http://schemas.openxmlformats.org/officeDocument/2006/relationships" r:embed="rId20"/>
        <a:stretch>
          <a:fillRect/>
        </a:stretch>
      </xdr:blipFill>
      <xdr:spPr>
        <a:xfrm>
          <a:off x="11849100" y="7324725"/>
          <a:ext cx="314325" cy="209550"/>
        </a:xfrm>
        <a:prstGeom prst="rect">
          <a:avLst/>
        </a:prstGeom>
      </xdr:spPr>
    </xdr:pic>
    <xdr:clientData/>
  </xdr:twoCellAnchor>
  <xdr:twoCellAnchor editAs="oneCell">
    <xdr:from>
      <xdr:col>43</xdr:col>
      <xdr:colOff>0</xdr:colOff>
      <xdr:row>44</xdr:row>
      <xdr:rowOff>0</xdr:rowOff>
    </xdr:from>
    <xdr:to>
      <xdr:col>43</xdr:col>
      <xdr:colOff>314325</xdr:colOff>
      <xdr:row>45</xdr:row>
      <xdr:rowOff>9525</xdr:rowOff>
    </xdr:to>
    <xdr:pic>
      <xdr:nvPicPr>
        <xdr:cNvPr id="167" name="Grafik 166">
          <a:extLst>
            <a:ext uri="{FF2B5EF4-FFF2-40B4-BE49-F238E27FC236}">
              <a16:creationId xmlns:a16="http://schemas.microsoft.com/office/drawing/2014/main" id="{8CDF1F64-82A8-42DA-879E-AB028A2DE027}"/>
            </a:ext>
          </a:extLst>
        </xdr:cNvPr>
        <xdr:cNvPicPr>
          <a:picLocks noChangeAspect="1"/>
        </xdr:cNvPicPr>
      </xdr:nvPicPr>
      <xdr:blipFill>
        <a:blip xmlns:r="http://schemas.openxmlformats.org/officeDocument/2006/relationships" r:embed="rId20"/>
        <a:stretch>
          <a:fillRect/>
        </a:stretch>
      </xdr:blipFill>
      <xdr:spPr>
        <a:xfrm>
          <a:off x="11849100" y="7686675"/>
          <a:ext cx="314325" cy="209550"/>
        </a:xfrm>
        <a:prstGeom prst="rect">
          <a:avLst/>
        </a:prstGeom>
      </xdr:spPr>
    </xdr:pic>
    <xdr:clientData/>
  </xdr:twoCellAnchor>
  <xdr:twoCellAnchor editAs="oneCell">
    <xdr:from>
      <xdr:col>1</xdr:col>
      <xdr:colOff>0</xdr:colOff>
      <xdr:row>30</xdr:row>
      <xdr:rowOff>0</xdr:rowOff>
    </xdr:from>
    <xdr:to>
      <xdr:col>1</xdr:col>
      <xdr:colOff>320040</xdr:colOff>
      <xdr:row>30</xdr:row>
      <xdr:rowOff>197069</xdr:rowOff>
    </xdr:to>
    <xdr:pic>
      <xdr:nvPicPr>
        <xdr:cNvPr id="8" name="Grafik 7">
          <a:extLst>
            <a:ext uri="{FF2B5EF4-FFF2-40B4-BE49-F238E27FC236}">
              <a16:creationId xmlns:a16="http://schemas.microsoft.com/office/drawing/2014/main" id="{D4280C66-8737-4EA1-A76B-2900962E75ED}"/>
            </a:ext>
          </a:extLst>
        </xdr:cNvPr>
        <xdr:cNvPicPr>
          <a:picLocks noChangeAspect="1"/>
        </xdr:cNvPicPr>
      </xdr:nvPicPr>
      <xdr:blipFill>
        <a:blip xmlns:r="http://schemas.openxmlformats.org/officeDocument/2006/relationships" r:embed="rId22"/>
        <a:stretch>
          <a:fillRect/>
        </a:stretch>
      </xdr:blipFill>
      <xdr:spPr>
        <a:xfrm>
          <a:off x="114300" y="5191125"/>
          <a:ext cx="320040" cy="197069"/>
        </a:xfrm>
        <a:prstGeom prst="rect">
          <a:avLst/>
        </a:prstGeom>
      </xdr:spPr>
    </xdr:pic>
    <xdr:clientData/>
  </xdr:twoCellAnchor>
  <xdr:twoCellAnchor editAs="oneCell">
    <xdr:from>
      <xdr:col>1</xdr:col>
      <xdr:colOff>0</xdr:colOff>
      <xdr:row>36</xdr:row>
      <xdr:rowOff>0</xdr:rowOff>
    </xdr:from>
    <xdr:to>
      <xdr:col>1</xdr:col>
      <xdr:colOff>320040</xdr:colOff>
      <xdr:row>36</xdr:row>
      <xdr:rowOff>197069</xdr:rowOff>
    </xdr:to>
    <xdr:pic>
      <xdr:nvPicPr>
        <xdr:cNvPr id="9" name="Grafik 8">
          <a:extLst>
            <a:ext uri="{FF2B5EF4-FFF2-40B4-BE49-F238E27FC236}">
              <a16:creationId xmlns:a16="http://schemas.microsoft.com/office/drawing/2014/main" id="{010AC6EC-71E2-4555-AADF-CA1C186D99F8}"/>
            </a:ext>
          </a:extLst>
        </xdr:cNvPr>
        <xdr:cNvPicPr>
          <a:picLocks noChangeAspect="1"/>
        </xdr:cNvPicPr>
      </xdr:nvPicPr>
      <xdr:blipFill>
        <a:blip xmlns:r="http://schemas.openxmlformats.org/officeDocument/2006/relationships" r:embed="rId22"/>
        <a:stretch>
          <a:fillRect/>
        </a:stretch>
      </xdr:blipFill>
      <xdr:spPr>
        <a:xfrm>
          <a:off x="114300" y="6238875"/>
          <a:ext cx="320040" cy="197069"/>
        </a:xfrm>
        <a:prstGeom prst="rect">
          <a:avLst/>
        </a:prstGeom>
      </xdr:spPr>
    </xdr:pic>
    <xdr:clientData/>
  </xdr:twoCellAnchor>
  <xdr:twoCellAnchor editAs="oneCell">
    <xdr:from>
      <xdr:col>1</xdr:col>
      <xdr:colOff>0</xdr:colOff>
      <xdr:row>40</xdr:row>
      <xdr:rowOff>0</xdr:rowOff>
    </xdr:from>
    <xdr:to>
      <xdr:col>1</xdr:col>
      <xdr:colOff>320040</xdr:colOff>
      <xdr:row>40</xdr:row>
      <xdr:rowOff>197069</xdr:rowOff>
    </xdr:to>
    <xdr:pic>
      <xdr:nvPicPr>
        <xdr:cNvPr id="10" name="Grafik 9">
          <a:extLst>
            <a:ext uri="{FF2B5EF4-FFF2-40B4-BE49-F238E27FC236}">
              <a16:creationId xmlns:a16="http://schemas.microsoft.com/office/drawing/2014/main" id="{5B4F3E4E-9C71-45F0-880B-1AE2075DF36A}"/>
            </a:ext>
          </a:extLst>
        </xdr:cNvPr>
        <xdr:cNvPicPr>
          <a:picLocks noChangeAspect="1"/>
        </xdr:cNvPicPr>
      </xdr:nvPicPr>
      <xdr:blipFill>
        <a:blip xmlns:r="http://schemas.openxmlformats.org/officeDocument/2006/relationships" r:embed="rId22"/>
        <a:stretch>
          <a:fillRect/>
        </a:stretch>
      </xdr:blipFill>
      <xdr:spPr>
        <a:xfrm>
          <a:off x="114300" y="6962775"/>
          <a:ext cx="320040" cy="197069"/>
        </a:xfrm>
        <a:prstGeom prst="rect">
          <a:avLst/>
        </a:prstGeom>
      </xdr:spPr>
    </xdr:pic>
    <xdr:clientData/>
  </xdr:twoCellAnchor>
  <xdr:twoCellAnchor editAs="oneCell">
    <xdr:from>
      <xdr:col>3</xdr:col>
      <xdr:colOff>0</xdr:colOff>
      <xdr:row>46</xdr:row>
      <xdr:rowOff>0</xdr:rowOff>
    </xdr:from>
    <xdr:to>
      <xdr:col>3</xdr:col>
      <xdr:colOff>320040</xdr:colOff>
      <xdr:row>46</xdr:row>
      <xdr:rowOff>197069</xdr:rowOff>
    </xdr:to>
    <xdr:pic>
      <xdr:nvPicPr>
        <xdr:cNvPr id="11" name="Grafik 10">
          <a:extLst>
            <a:ext uri="{FF2B5EF4-FFF2-40B4-BE49-F238E27FC236}">
              <a16:creationId xmlns:a16="http://schemas.microsoft.com/office/drawing/2014/main" id="{019A69D5-1ECA-4DDD-A9A2-81A04084A8E0}"/>
            </a:ext>
          </a:extLst>
        </xdr:cNvPr>
        <xdr:cNvPicPr>
          <a:picLocks noChangeAspect="1"/>
        </xdr:cNvPicPr>
      </xdr:nvPicPr>
      <xdr:blipFill>
        <a:blip xmlns:r="http://schemas.openxmlformats.org/officeDocument/2006/relationships" r:embed="rId22"/>
        <a:stretch>
          <a:fillRect/>
        </a:stretch>
      </xdr:blipFill>
      <xdr:spPr>
        <a:xfrm>
          <a:off x="1543050" y="8048625"/>
          <a:ext cx="320040" cy="197069"/>
        </a:xfrm>
        <a:prstGeom prst="rect">
          <a:avLst/>
        </a:prstGeom>
      </xdr:spPr>
    </xdr:pic>
    <xdr:clientData/>
  </xdr:twoCellAnchor>
  <xdr:twoCellAnchor editAs="oneCell">
    <xdr:from>
      <xdr:col>23</xdr:col>
      <xdr:colOff>0</xdr:colOff>
      <xdr:row>32</xdr:row>
      <xdr:rowOff>0</xdr:rowOff>
    </xdr:from>
    <xdr:to>
      <xdr:col>23</xdr:col>
      <xdr:colOff>295604</xdr:colOff>
      <xdr:row>32</xdr:row>
      <xdr:rowOff>197069</xdr:rowOff>
    </xdr:to>
    <xdr:pic>
      <xdr:nvPicPr>
        <xdr:cNvPr id="12" name="Grafik 11">
          <a:extLst>
            <a:ext uri="{FF2B5EF4-FFF2-40B4-BE49-F238E27FC236}">
              <a16:creationId xmlns:a16="http://schemas.microsoft.com/office/drawing/2014/main" id="{21E96CDD-816E-4BD6-9FD9-B83DA3619998}"/>
            </a:ext>
          </a:extLst>
        </xdr:cNvPr>
        <xdr:cNvPicPr>
          <a:picLocks noChangeAspect="1"/>
        </xdr:cNvPicPr>
      </xdr:nvPicPr>
      <xdr:blipFill>
        <a:blip xmlns:r="http://schemas.openxmlformats.org/officeDocument/2006/relationships" r:embed="rId23"/>
        <a:stretch>
          <a:fillRect/>
        </a:stretch>
      </xdr:blipFill>
      <xdr:spPr>
        <a:xfrm>
          <a:off x="6696075" y="5553075"/>
          <a:ext cx="295604" cy="197069"/>
        </a:xfrm>
        <a:prstGeom prst="rect">
          <a:avLst/>
        </a:prstGeom>
      </xdr:spPr>
    </xdr:pic>
    <xdr:clientData/>
  </xdr:twoCellAnchor>
  <xdr:twoCellAnchor editAs="oneCell">
    <xdr:from>
      <xdr:col>23</xdr:col>
      <xdr:colOff>0</xdr:colOff>
      <xdr:row>36</xdr:row>
      <xdr:rowOff>0</xdr:rowOff>
    </xdr:from>
    <xdr:to>
      <xdr:col>23</xdr:col>
      <xdr:colOff>295604</xdr:colOff>
      <xdr:row>36</xdr:row>
      <xdr:rowOff>197069</xdr:rowOff>
    </xdr:to>
    <xdr:pic>
      <xdr:nvPicPr>
        <xdr:cNvPr id="13" name="Grafik 12">
          <a:extLst>
            <a:ext uri="{FF2B5EF4-FFF2-40B4-BE49-F238E27FC236}">
              <a16:creationId xmlns:a16="http://schemas.microsoft.com/office/drawing/2014/main" id="{ED267674-EBBA-4EC2-BBFC-D268921BFB29}"/>
            </a:ext>
          </a:extLst>
        </xdr:cNvPr>
        <xdr:cNvPicPr>
          <a:picLocks noChangeAspect="1"/>
        </xdr:cNvPicPr>
      </xdr:nvPicPr>
      <xdr:blipFill>
        <a:blip xmlns:r="http://schemas.openxmlformats.org/officeDocument/2006/relationships" r:embed="rId23"/>
        <a:stretch>
          <a:fillRect/>
        </a:stretch>
      </xdr:blipFill>
      <xdr:spPr>
        <a:xfrm>
          <a:off x="6696075" y="6238875"/>
          <a:ext cx="295604" cy="197069"/>
        </a:xfrm>
        <a:prstGeom prst="rect">
          <a:avLst/>
        </a:prstGeom>
      </xdr:spPr>
    </xdr:pic>
    <xdr:clientData/>
  </xdr:twoCellAnchor>
  <xdr:twoCellAnchor editAs="oneCell">
    <xdr:from>
      <xdr:col>23</xdr:col>
      <xdr:colOff>0</xdr:colOff>
      <xdr:row>40</xdr:row>
      <xdr:rowOff>0</xdr:rowOff>
    </xdr:from>
    <xdr:to>
      <xdr:col>23</xdr:col>
      <xdr:colOff>295604</xdr:colOff>
      <xdr:row>40</xdr:row>
      <xdr:rowOff>197069</xdr:rowOff>
    </xdr:to>
    <xdr:pic>
      <xdr:nvPicPr>
        <xdr:cNvPr id="28" name="Grafik 27">
          <a:extLst>
            <a:ext uri="{FF2B5EF4-FFF2-40B4-BE49-F238E27FC236}">
              <a16:creationId xmlns:a16="http://schemas.microsoft.com/office/drawing/2014/main" id="{EC7A85FE-2092-4D6D-B7E5-FDA1E59E3EF7}"/>
            </a:ext>
          </a:extLst>
        </xdr:cNvPr>
        <xdr:cNvPicPr>
          <a:picLocks noChangeAspect="1"/>
        </xdr:cNvPicPr>
      </xdr:nvPicPr>
      <xdr:blipFill>
        <a:blip xmlns:r="http://schemas.openxmlformats.org/officeDocument/2006/relationships" r:embed="rId23"/>
        <a:stretch>
          <a:fillRect/>
        </a:stretch>
      </xdr:blipFill>
      <xdr:spPr>
        <a:xfrm>
          <a:off x="6696075" y="6962775"/>
          <a:ext cx="295604" cy="197069"/>
        </a:xfrm>
        <a:prstGeom prst="rect">
          <a:avLst/>
        </a:prstGeom>
      </xdr:spPr>
    </xdr:pic>
    <xdr:clientData/>
  </xdr:twoCellAnchor>
  <xdr:twoCellAnchor editAs="oneCell">
    <xdr:from>
      <xdr:col>21</xdr:col>
      <xdr:colOff>0</xdr:colOff>
      <xdr:row>46</xdr:row>
      <xdr:rowOff>0</xdr:rowOff>
    </xdr:from>
    <xdr:to>
      <xdr:col>21</xdr:col>
      <xdr:colOff>295604</xdr:colOff>
      <xdr:row>46</xdr:row>
      <xdr:rowOff>197069</xdr:rowOff>
    </xdr:to>
    <xdr:pic>
      <xdr:nvPicPr>
        <xdr:cNvPr id="29" name="Grafik 28">
          <a:extLst>
            <a:ext uri="{FF2B5EF4-FFF2-40B4-BE49-F238E27FC236}">
              <a16:creationId xmlns:a16="http://schemas.microsoft.com/office/drawing/2014/main" id="{FA732127-7B91-4F38-8F45-103B402CB528}"/>
            </a:ext>
          </a:extLst>
        </xdr:cNvPr>
        <xdr:cNvPicPr>
          <a:picLocks noChangeAspect="1"/>
        </xdr:cNvPicPr>
      </xdr:nvPicPr>
      <xdr:blipFill>
        <a:blip xmlns:r="http://schemas.openxmlformats.org/officeDocument/2006/relationships" r:embed="rId23"/>
        <a:stretch>
          <a:fillRect/>
        </a:stretch>
      </xdr:blipFill>
      <xdr:spPr>
        <a:xfrm>
          <a:off x="5267325" y="8048625"/>
          <a:ext cx="295604" cy="197069"/>
        </a:xfrm>
        <a:prstGeom prst="rect">
          <a:avLst/>
        </a:prstGeom>
      </xdr:spPr>
    </xdr:pic>
    <xdr:clientData/>
  </xdr:twoCellAnchor>
  <xdr:twoCellAnchor editAs="oneCell">
    <xdr:from>
      <xdr:col>43</xdr:col>
      <xdr:colOff>0</xdr:colOff>
      <xdr:row>30</xdr:row>
      <xdr:rowOff>0</xdr:rowOff>
    </xdr:from>
    <xdr:to>
      <xdr:col>43</xdr:col>
      <xdr:colOff>295604</xdr:colOff>
      <xdr:row>30</xdr:row>
      <xdr:rowOff>197069</xdr:rowOff>
    </xdr:to>
    <xdr:pic>
      <xdr:nvPicPr>
        <xdr:cNvPr id="30" name="Grafik 29">
          <a:extLst>
            <a:ext uri="{FF2B5EF4-FFF2-40B4-BE49-F238E27FC236}">
              <a16:creationId xmlns:a16="http://schemas.microsoft.com/office/drawing/2014/main" id="{8C997D0C-0835-4098-B990-9893F61B9DAD}"/>
            </a:ext>
          </a:extLst>
        </xdr:cNvPr>
        <xdr:cNvPicPr>
          <a:picLocks noChangeAspect="1"/>
        </xdr:cNvPicPr>
      </xdr:nvPicPr>
      <xdr:blipFill>
        <a:blip xmlns:r="http://schemas.openxmlformats.org/officeDocument/2006/relationships" r:embed="rId24"/>
        <a:stretch>
          <a:fillRect/>
        </a:stretch>
      </xdr:blipFill>
      <xdr:spPr>
        <a:xfrm>
          <a:off x="11849100" y="5191125"/>
          <a:ext cx="295604" cy="197069"/>
        </a:xfrm>
        <a:prstGeom prst="rect">
          <a:avLst/>
        </a:prstGeom>
      </xdr:spPr>
    </xdr:pic>
    <xdr:clientData/>
  </xdr:twoCellAnchor>
  <xdr:twoCellAnchor editAs="oneCell">
    <xdr:from>
      <xdr:col>43</xdr:col>
      <xdr:colOff>0</xdr:colOff>
      <xdr:row>36</xdr:row>
      <xdr:rowOff>0</xdr:rowOff>
    </xdr:from>
    <xdr:to>
      <xdr:col>43</xdr:col>
      <xdr:colOff>295604</xdr:colOff>
      <xdr:row>36</xdr:row>
      <xdr:rowOff>197069</xdr:rowOff>
    </xdr:to>
    <xdr:pic>
      <xdr:nvPicPr>
        <xdr:cNvPr id="31" name="Grafik 30">
          <a:extLst>
            <a:ext uri="{FF2B5EF4-FFF2-40B4-BE49-F238E27FC236}">
              <a16:creationId xmlns:a16="http://schemas.microsoft.com/office/drawing/2014/main" id="{4C5AE713-86CD-437B-9284-204643A1A0A1}"/>
            </a:ext>
          </a:extLst>
        </xdr:cNvPr>
        <xdr:cNvPicPr>
          <a:picLocks noChangeAspect="1"/>
        </xdr:cNvPicPr>
      </xdr:nvPicPr>
      <xdr:blipFill>
        <a:blip xmlns:r="http://schemas.openxmlformats.org/officeDocument/2006/relationships" r:embed="rId24"/>
        <a:stretch>
          <a:fillRect/>
        </a:stretch>
      </xdr:blipFill>
      <xdr:spPr>
        <a:xfrm>
          <a:off x="11849100" y="6238875"/>
          <a:ext cx="295604" cy="197069"/>
        </a:xfrm>
        <a:prstGeom prst="rect">
          <a:avLst/>
        </a:prstGeom>
      </xdr:spPr>
    </xdr:pic>
    <xdr:clientData/>
  </xdr:twoCellAnchor>
  <xdr:twoCellAnchor editAs="oneCell">
    <xdr:from>
      <xdr:col>41</xdr:col>
      <xdr:colOff>0</xdr:colOff>
      <xdr:row>40</xdr:row>
      <xdr:rowOff>0</xdr:rowOff>
    </xdr:from>
    <xdr:to>
      <xdr:col>41</xdr:col>
      <xdr:colOff>295604</xdr:colOff>
      <xdr:row>40</xdr:row>
      <xdr:rowOff>197069</xdr:rowOff>
    </xdr:to>
    <xdr:pic>
      <xdr:nvPicPr>
        <xdr:cNvPr id="32" name="Grafik 31">
          <a:extLst>
            <a:ext uri="{FF2B5EF4-FFF2-40B4-BE49-F238E27FC236}">
              <a16:creationId xmlns:a16="http://schemas.microsoft.com/office/drawing/2014/main" id="{EC9F8DD2-554D-43F3-A51D-50D854D09E87}"/>
            </a:ext>
          </a:extLst>
        </xdr:cNvPr>
        <xdr:cNvPicPr>
          <a:picLocks noChangeAspect="1"/>
        </xdr:cNvPicPr>
      </xdr:nvPicPr>
      <xdr:blipFill>
        <a:blip xmlns:r="http://schemas.openxmlformats.org/officeDocument/2006/relationships" r:embed="rId24"/>
        <a:stretch>
          <a:fillRect/>
        </a:stretch>
      </xdr:blipFill>
      <xdr:spPr>
        <a:xfrm>
          <a:off x="10420350" y="6962775"/>
          <a:ext cx="295604" cy="197069"/>
        </a:xfrm>
        <a:prstGeom prst="rect">
          <a:avLst/>
        </a:prstGeom>
      </xdr:spPr>
    </xdr:pic>
    <xdr:clientData/>
  </xdr:twoCellAnchor>
  <xdr:twoCellAnchor editAs="oneCell">
    <xdr:from>
      <xdr:col>41</xdr:col>
      <xdr:colOff>0</xdr:colOff>
      <xdr:row>44</xdr:row>
      <xdr:rowOff>0</xdr:rowOff>
    </xdr:from>
    <xdr:to>
      <xdr:col>41</xdr:col>
      <xdr:colOff>295604</xdr:colOff>
      <xdr:row>44</xdr:row>
      <xdr:rowOff>197069</xdr:rowOff>
    </xdr:to>
    <xdr:pic>
      <xdr:nvPicPr>
        <xdr:cNvPr id="33" name="Grafik 32">
          <a:extLst>
            <a:ext uri="{FF2B5EF4-FFF2-40B4-BE49-F238E27FC236}">
              <a16:creationId xmlns:a16="http://schemas.microsoft.com/office/drawing/2014/main" id="{7C77DDEC-DB8F-461B-814B-20F405F02B8C}"/>
            </a:ext>
          </a:extLst>
        </xdr:cNvPr>
        <xdr:cNvPicPr>
          <a:picLocks noChangeAspect="1"/>
        </xdr:cNvPicPr>
      </xdr:nvPicPr>
      <xdr:blipFill>
        <a:blip xmlns:r="http://schemas.openxmlformats.org/officeDocument/2006/relationships" r:embed="rId24"/>
        <a:stretch>
          <a:fillRect/>
        </a:stretch>
      </xdr:blipFill>
      <xdr:spPr>
        <a:xfrm>
          <a:off x="10420350" y="7686675"/>
          <a:ext cx="295604" cy="19706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457200</xdr:colOff>
      <xdr:row>7</xdr:row>
      <xdr:rowOff>142875</xdr:rowOff>
    </xdr:from>
    <xdr:to>
      <xdr:col>6</xdr:col>
      <xdr:colOff>609600</xdr:colOff>
      <xdr:row>12</xdr:row>
      <xdr:rowOff>38100</xdr:rowOff>
    </xdr:to>
    <xdr:pic>
      <xdr:nvPicPr>
        <xdr:cNvPr id="3" name="Picture 3" descr="amexio-surfer-logo-400">
          <a:hlinkClick xmlns:r="http://schemas.openxmlformats.org/officeDocument/2006/relationships" r:id="rId1"/>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09825" y="1276350"/>
          <a:ext cx="2438400"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makro-excel.de/excel-tippspiel-benutzerhandbuch/"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www.makro-excel.d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B2:M10"/>
  <sheetViews>
    <sheetView showGridLines="0" showRowColHeaders="0" tabSelected="1" workbookViewId="0">
      <selection activeCell="B5" sqref="B5"/>
    </sheetView>
  </sheetViews>
  <sheetFormatPr baseColWidth="10" defaultRowHeight="12.75" x14ac:dyDescent="0.2"/>
  <sheetData>
    <row r="2" spans="2:13" hidden="1" x14ac:dyDescent="0.2"/>
    <row r="3" spans="2:13" hidden="1" x14ac:dyDescent="0.2"/>
    <row r="4" spans="2:13" hidden="1" x14ac:dyDescent="0.2">
      <c r="B4" s="198"/>
    </row>
    <row r="5" spans="2:13" ht="15" customHeight="1" x14ac:dyDescent="0.25">
      <c r="B5" s="199" t="s">
        <v>711</v>
      </c>
    </row>
    <row r="6" spans="2:13" ht="8.1" customHeight="1" x14ac:dyDescent="0.2"/>
    <row r="7" spans="2:13" ht="15" customHeight="1" x14ac:dyDescent="0.25">
      <c r="B7" s="200" t="s">
        <v>709</v>
      </c>
    </row>
    <row r="8" spans="2:13" ht="8.1" customHeight="1" x14ac:dyDescent="0.2"/>
    <row r="9" spans="2:13" ht="15" customHeight="1" x14ac:dyDescent="0.2">
      <c r="B9" s="201" t="s">
        <v>710</v>
      </c>
      <c r="C9" s="201"/>
      <c r="D9" s="201"/>
      <c r="E9" s="201"/>
      <c r="F9" s="201"/>
      <c r="G9" s="201"/>
      <c r="H9" s="201"/>
      <c r="I9" s="201"/>
      <c r="J9" s="201"/>
      <c r="K9" s="201"/>
      <c r="L9" s="201"/>
      <c r="M9" s="201"/>
    </row>
    <row r="10" spans="2:13" ht="15" customHeight="1" x14ac:dyDescent="0.2">
      <c r="B10" s="201"/>
      <c r="C10" s="201"/>
      <c r="D10" s="201"/>
      <c r="E10" s="201"/>
      <c r="F10" s="201"/>
      <c r="G10" s="201"/>
      <c r="H10" s="201"/>
      <c r="I10" s="201"/>
      <c r="J10" s="201"/>
      <c r="K10" s="201"/>
      <c r="L10" s="201"/>
      <c r="M10" s="201"/>
    </row>
  </sheetData>
  <sheetProtection algorithmName="SHA-512" hashValue="IOB6iCJLODfU6qaPclhwQ+k4dnGhDtsvcNL7EFOg6cWrwv3WTi+VsGNtWAqOuaQfzD5T/dV3+dns1XELG8e0cA==" saltValue="yDYTBppHSfRzuhrBD/LMIA==" spinCount="100000" sheet="1" objects="1" scenarios="1" selectLockedCells="1" selectUnlockedCells="1"/>
  <mergeCells count="1">
    <mergeCell ref="B9:M10"/>
  </mergeCells>
  <phoneticPr fontId="1" type="noConversion"/>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B1:EN121"/>
  <sheetViews>
    <sheetView showGridLines="0" showRowColHeaders="0" zoomScaleNormal="100" workbookViewId="0">
      <selection activeCell="L9" sqref="L9"/>
    </sheetView>
  </sheetViews>
  <sheetFormatPr baseColWidth="10" defaultRowHeight="12.75" x14ac:dyDescent="0.2"/>
  <cols>
    <col min="1" max="1" width="1.7109375" customWidth="1"/>
    <col min="2" max="2" width="6.7109375" customWidth="1"/>
    <col min="3" max="3" width="14.7109375" customWidth="1"/>
    <col min="4" max="4" width="6.7109375" customWidth="1"/>
    <col min="5" max="10" width="2.7109375" customWidth="1"/>
    <col min="11" max="12" width="2.85546875" customWidth="1"/>
    <col min="13" max="13" width="2.85546875" style="2" customWidth="1"/>
    <col min="14" max="14" width="2.85546875" style="4" customWidth="1"/>
    <col min="15" max="15" width="4.7109375" customWidth="1"/>
    <col min="16" max="16" width="2.85546875" customWidth="1"/>
    <col min="17" max="17" width="2.85546875" style="2" customWidth="1"/>
    <col min="18" max="18" width="2.85546875" style="4" customWidth="1"/>
    <col min="19" max="19" width="1.7109375" customWidth="1"/>
    <col min="20" max="20" width="4.7109375" customWidth="1"/>
    <col min="21" max="21" width="1.7109375" customWidth="1"/>
    <col min="22" max="22" width="6.7109375" customWidth="1"/>
    <col min="23" max="23" width="14.7109375" customWidth="1"/>
    <col min="24" max="24" width="6.7109375" customWidth="1"/>
    <col min="25" max="30" width="2.7109375" customWidth="1"/>
    <col min="31" max="34" width="2.85546875" customWidth="1"/>
    <col min="35" max="35" width="4.7109375" customWidth="1"/>
    <col min="36" max="38" width="2.85546875" customWidth="1"/>
    <col min="39" max="39" width="1.7109375" customWidth="1"/>
    <col min="40" max="40" width="4.7109375" customWidth="1"/>
    <col min="41" max="41" width="1.7109375" customWidth="1"/>
    <col min="42" max="42" width="6.7109375" customWidth="1"/>
    <col min="43" max="43" width="14.7109375" customWidth="1"/>
    <col min="44" max="44" width="6.7109375" customWidth="1"/>
    <col min="45" max="50" width="2.7109375" customWidth="1"/>
    <col min="51" max="54" width="2.85546875" customWidth="1"/>
    <col min="55" max="55" width="4.7109375" customWidth="1"/>
    <col min="56" max="58" width="2.85546875" customWidth="1"/>
    <col min="59" max="59" width="1.7109375" customWidth="1"/>
    <col min="60" max="60" width="2.7109375" customWidth="1"/>
    <col min="61" max="61" width="1.7109375" customWidth="1"/>
    <col min="62" max="62" width="6.7109375" hidden="1" customWidth="1"/>
    <col min="63" max="63" width="14.7109375" hidden="1" customWidth="1"/>
    <col min="64" max="64" width="6.7109375" hidden="1" customWidth="1"/>
    <col min="65" max="74" width="2.7109375" hidden="1" customWidth="1"/>
    <col min="75" max="75" width="4.7109375" hidden="1" customWidth="1"/>
    <col min="76" max="78" width="2.7109375" hidden="1" customWidth="1"/>
    <col min="79" max="79" width="1.7109375" hidden="1" customWidth="1"/>
    <col min="80" max="80" width="2.7109375" hidden="1" customWidth="1"/>
    <col min="81" max="93" width="11.42578125" hidden="1" customWidth="1"/>
    <col min="94" max="94" width="12.5703125" hidden="1" customWidth="1"/>
    <col min="95" max="111" width="11.42578125" hidden="1" customWidth="1"/>
    <col min="112" max="112" width="14.140625" hidden="1" customWidth="1"/>
    <col min="113" max="113" width="8.28515625" hidden="1" customWidth="1"/>
    <col min="114" max="114" width="14" hidden="1" customWidth="1"/>
    <col min="115" max="115" width="15.85546875" hidden="1" customWidth="1"/>
    <col min="116" max="127" width="11.42578125" hidden="1" customWidth="1"/>
    <col min="128" max="128" width="12.28515625" hidden="1" customWidth="1"/>
    <col min="129" max="129" width="15.28515625" hidden="1" customWidth="1"/>
    <col min="130" max="133" width="11.42578125" hidden="1" customWidth="1"/>
    <col min="134" max="134" width="15.28515625" hidden="1" customWidth="1"/>
    <col min="135" max="144" width="11.42578125" hidden="1" customWidth="1"/>
  </cols>
  <sheetData>
    <row r="1" spans="2:144" x14ac:dyDescent="0.2">
      <c r="B1" s="147"/>
      <c r="C1" s="148" t="s">
        <v>0</v>
      </c>
      <c r="D1" s="148"/>
      <c r="E1" s="148"/>
      <c r="F1" s="148"/>
      <c r="G1" s="148"/>
      <c r="H1" s="148"/>
      <c r="I1" s="148"/>
      <c r="J1" s="148"/>
      <c r="K1" s="148"/>
      <c r="L1" s="148"/>
      <c r="M1" s="148"/>
      <c r="N1" s="149"/>
      <c r="O1" s="148"/>
      <c r="P1" s="148"/>
      <c r="Q1" s="148"/>
      <c r="R1" s="149"/>
      <c r="V1" s="147"/>
      <c r="W1" s="148" t="s">
        <v>1</v>
      </c>
      <c r="X1" s="148"/>
      <c r="Y1" s="148"/>
      <c r="Z1" s="148"/>
      <c r="AA1" s="148"/>
      <c r="AB1" s="148"/>
      <c r="AC1" s="148"/>
      <c r="AD1" s="148"/>
      <c r="AE1" s="148"/>
      <c r="AF1" s="148"/>
      <c r="AG1" s="148"/>
      <c r="AH1" s="148"/>
      <c r="AI1" s="148"/>
      <c r="AJ1" s="148"/>
      <c r="AK1" s="148"/>
      <c r="AL1" s="148"/>
      <c r="AP1" s="147"/>
      <c r="AQ1" s="148" t="s">
        <v>2</v>
      </c>
      <c r="AR1" s="148"/>
      <c r="AS1" s="148"/>
      <c r="AT1" s="148"/>
      <c r="AU1" s="148"/>
      <c r="AV1" s="148"/>
      <c r="AW1" s="148"/>
      <c r="AX1" s="148"/>
      <c r="AY1" s="148"/>
      <c r="AZ1" s="148"/>
      <c r="BA1" s="148"/>
      <c r="BB1" s="148"/>
      <c r="BC1" s="148"/>
      <c r="BD1" s="148"/>
      <c r="BE1" s="148"/>
      <c r="BF1" s="156"/>
      <c r="BJ1" s="59"/>
      <c r="BK1" s="60"/>
      <c r="BL1" s="60"/>
      <c r="BM1" s="60"/>
      <c r="BN1" s="60"/>
      <c r="BO1" s="60"/>
      <c r="BP1" s="60"/>
      <c r="BQ1" s="60"/>
      <c r="BR1" s="60"/>
      <c r="BS1" s="60"/>
      <c r="BT1" s="60"/>
      <c r="BU1" s="60"/>
      <c r="BV1" s="60"/>
      <c r="BW1" s="60"/>
      <c r="BX1" s="60"/>
      <c r="BY1" s="60"/>
      <c r="BZ1" s="60"/>
      <c r="CA1" s="61"/>
      <c r="CB1" s="61"/>
      <c r="CD1" s="193" t="s">
        <v>704</v>
      </c>
      <c r="CE1" s="193">
        <v>2024</v>
      </c>
      <c r="DX1" s="49">
        <v>41068.75</v>
      </c>
      <c r="DY1" s="50">
        <f ca="1">NOW()</f>
        <v>45380.560340509262</v>
      </c>
      <c r="DZ1" s="51" t="str">
        <f ca="1">IF($DY$1&gt;ED1,"sperren","frei")</f>
        <v>frei</v>
      </c>
      <c r="EA1" s="49" t="s">
        <v>122</v>
      </c>
      <c r="EB1" s="49" t="s">
        <v>123</v>
      </c>
      <c r="EC1" t="s">
        <v>37</v>
      </c>
      <c r="ED1" s="50">
        <v>45457.875</v>
      </c>
      <c r="EE1" t="s">
        <v>122</v>
      </c>
      <c r="EF1" t="s">
        <v>123</v>
      </c>
      <c r="EH1" t="s">
        <v>410</v>
      </c>
      <c r="EI1" t="s">
        <v>411</v>
      </c>
      <c r="EJ1">
        <v>1</v>
      </c>
      <c r="EM1" t="s">
        <v>209</v>
      </c>
      <c r="EN1" t="s">
        <v>210</v>
      </c>
    </row>
    <row r="2" spans="2:144" x14ac:dyDescent="0.2">
      <c r="BJ2" s="62"/>
      <c r="BK2" s="62"/>
      <c r="BL2" s="62"/>
      <c r="BM2" s="62"/>
      <c r="BN2" s="62"/>
      <c r="BO2" s="62"/>
      <c r="BP2" s="62"/>
      <c r="BQ2" s="62"/>
      <c r="BR2" s="62"/>
      <c r="BS2" s="62"/>
      <c r="BT2" s="62"/>
      <c r="BU2" s="62"/>
      <c r="BV2" s="62"/>
      <c r="BW2" s="62"/>
      <c r="BX2" s="62"/>
      <c r="BY2" s="62"/>
      <c r="BZ2" s="62"/>
      <c r="CA2" s="62"/>
      <c r="CB2" s="62"/>
      <c r="CS2" s="3" t="s">
        <v>24</v>
      </c>
      <c r="DJ2" t="s">
        <v>114</v>
      </c>
      <c r="DX2" s="49">
        <v>41068.864583333336</v>
      </c>
      <c r="DZ2" s="51" t="str">
        <f t="shared" ref="DZ2:DZ51" ca="1" si="0">IF($DY$1&gt;ED2,"sperren","frei")</f>
        <v>frei</v>
      </c>
      <c r="EA2" s="49" t="s">
        <v>124</v>
      </c>
      <c r="EB2" s="49" t="s">
        <v>125</v>
      </c>
      <c r="EC2" t="s">
        <v>37</v>
      </c>
      <c r="ED2" s="50">
        <v>45458.625</v>
      </c>
      <c r="EE2" t="s">
        <v>124</v>
      </c>
      <c r="EF2" t="s">
        <v>125</v>
      </c>
      <c r="EH2" t="s">
        <v>320</v>
      </c>
      <c r="EI2" t="s">
        <v>321</v>
      </c>
      <c r="EJ2">
        <v>2</v>
      </c>
      <c r="EM2" t="s">
        <v>211</v>
      </c>
      <c r="EN2" t="s">
        <v>212</v>
      </c>
    </row>
    <row r="3" spans="2:144" ht="15.95" customHeight="1" x14ac:dyDescent="0.2">
      <c r="C3" s="83" t="s">
        <v>4</v>
      </c>
      <c r="E3" s="83" t="s">
        <v>511</v>
      </c>
      <c r="W3" s="83" t="s">
        <v>6</v>
      </c>
      <c r="Y3" s="83" t="s">
        <v>9</v>
      </c>
      <c r="AQ3" s="83" t="s">
        <v>658</v>
      </c>
      <c r="AS3" s="83" t="s">
        <v>509</v>
      </c>
      <c r="BJ3" s="62"/>
      <c r="BK3" s="62"/>
      <c r="BL3" s="62"/>
      <c r="BM3" s="62"/>
      <c r="BN3" s="62"/>
      <c r="BO3" s="62"/>
      <c r="BP3" s="62"/>
      <c r="BQ3" s="62"/>
      <c r="BR3" s="62"/>
      <c r="BS3" s="62"/>
      <c r="BT3" s="62"/>
      <c r="BU3" s="62"/>
      <c r="BV3" s="62"/>
      <c r="BW3" s="62"/>
      <c r="BX3" s="62"/>
      <c r="BY3" s="62"/>
      <c r="BZ3" s="62"/>
      <c r="CA3" s="62"/>
      <c r="CB3" s="62"/>
      <c r="CS3" s="192" t="s">
        <v>515</v>
      </c>
      <c r="DX3" s="52">
        <v>41069.75</v>
      </c>
      <c r="DZ3" s="51" t="str">
        <f t="shared" ca="1" si="0"/>
        <v>frei</v>
      </c>
      <c r="EA3" s="52" t="s">
        <v>126</v>
      </c>
      <c r="EB3" s="52" t="s">
        <v>127</v>
      </c>
      <c r="EC3" t="s">
        <v>38</v>
      </c>
      <c r="ED3" s="50">
        <v>45458.75</v>
      </c>
      <c r="EE3" t="s">
        <v>126</v>
      </c>
      <c r="EF3" t="s">
        <v>127</v>
      </c>
      <c r="EH3" t="s">
        <v>322</v>
      </c>
      <c r="EI3" t="s">
        <v>323</v>
      </c>
      <c r="EJ3">
        <v>3</v>
      </c>
      <c r="EM3" t="s">
        <v>213</v>
      </c>
      <c r="EN3" t="s">
        <v>214</v>
      </c>
    </row>
    <row r="4" spans="2:144" x14ac:dyDescent="0.2">
      <c r="BJ4" s="62"/>
      <c r="BK4" s="62"/>
      <c r="BL4" s="62"/>
      <c r="BM4" s="62"/>
      <c r="BN4" s="62"/>
      <c r="BO4" s="62"/>
      <c r="BP4" s="62"/>
      <c r="BQ4" s="62"/>
      <c r="BR4" s="62"/>
      <c r="BS4" s="62"/>
      <c r="BT4" s="62"/>
      <c r="BU4" s="62"/>
      <c r="BV4" s="62"/>
      <c r="BW4" s="62"/>
      <c r="BX4" s="62"/>
      <c r="BY4" s="62"/>
      <c r="BZ4" s="62"/>
      <c r="CA4" s="62"/>
      <c r="CB4" s="62"/>
      <c r="CE4" s="45">
        <f ca="1">TODAY()</f>
        <v>45380</v>
      </c>
      <c r="CS4" s="86" t="s">
        <v>700</v>
      </c>
      <c r="DX4" s="52">
        <v>41069.864583333336</v>
      </c>
      <c r="DZ4" s="51" t="str">
        <f t="shared" ca="1" si="0"/>
        <v>frei</v>
      </c>
      <c r="EA4" s="52" t="s">
        <v>128</v>
      </c>
      <c r="EB4" s="52" t="s">
        <v>129</v>
      </c>
      <c r="EC4" t="s">
        <v>38</v>
      </c>
      <c r="ED4" s="50">
        <v>45458.875</v>
      </c>
      <c r="EE4" t="s">
        <v>128</v>
      </c>
      <c r="EF4" t="s">
        <v>129</v>
      </c>
      <c r="EH4" t="s">
        <v>324</v>
      </c>
      <c r="EI4" t="s">
        <v>325</v>
      </c>
      <c r="EJ4">
        <v>4</v>
      </c>
      <c r="EM4" t="s">
        <v>215</v>
      </c>
      <c r="EN4" t="s">
        <v>216</v>
      </c>
    </row>
    <row r="5" spans="2:144" ht="15.95" customHeight="1" x14ac:dyDescent="0.2">
      <c r="C5" s="83" t="s">
        <v>185</v>
      </c>
      <c r="E5" s="83" t="s">
        <v>180</v>
      </c>
      <c r="W5" s="83" t="s">
        <v>7</v>
      </c>
      <c r="Y5" s="83" t="s">
        <v>651</v>
      </c>
      <c r="AQ5" s="83" t="s">
        <v>659</v>
      </c>
      <c r="AS5" s="83" t="s">
        <v>11</v>
      </c>
      <c r="BJ5" s="62"/>
      <c r="BK5" s="62"/>
      <c r="BL5" s="62"/>
      <c r="BM5" s="62"/>
      <c r="BN5" s="62"/>
      <c r="BO5" s="62"/>
      <c r="BP5" s="62"/>
      <c r="BQ5" s="62"/>
      <c r="BR5" s="62"/>
      <c r="BS5" s="62"/>
      <c r="BT5" s="62"/>
      <c r="BU5" s="62"/>
      <c r="BV5" s="62"/>
      <c r="BW5" s="62"/>
      <c r="BX5" s="62"/>
      <c r="BY5" s="62"/>
      <c r="BZ5" s="62"/>
      <c r="CA5" s="62"/>
      <c r="CB5" s="62"/>
      <c r="CS5" t="s">
        <v>0</v>
      </c>
      <c r="CX5" s="2">
        <v>3</v>
      </c>
      <c r="CY5" s="2"/>
      <c r="CZ5" s="2">
        <v>2</v>
      </c>
      <c r="DD5">
        <v>1</v>
      </c>
      <c r="DX5" s="53">
        <v>41070.75</v>
      </c>
      <c r="DZ5" s="51" t="str">
        <f t="shared" ca="1" si="0"/>
        <v>frei</v>
      </c>
      <c r="EA5" s="53" t="s">
        <v>130</v>
      </c>
      <c r="EB5" s="53" t="s">
        <v>131</v>
      </c>
      <c r="EC5" t="s">
        <v>40</v>
      </c>
      <c r="ED5" s="50">
        <v>45459.625</v>
      </c>
      <c r="EE5" t="s">
        <v>442</v>
      </c>
      <c r="EF5" t="s">
        <v>462</v>
      </c>
      <c r="EH5" t="s">
        <v>326</v>
      </c>
      <c r="EI5" t="s">
        <v>327</v>
      </c>
      <c r="EJ5">
        <v>5</v>
      </c>
      <c r="EM5" t="s">
        <v>217</v>
      </c>
      <c r="EN5" t="s">
        <v>218</v>
      </c>
    </row>
    <row r="6" spans="2:144" x14ac:dyDescent="0.2">
      <c r="BJ6" s="62"/>
      <c r="BK6" s="62"/>
      <c r="BL6" s="62"/>
      <c r="BM6" s="62"/>
      <c r="BN6" s="62"/>
      <c r="BO6" s="62"/>
      <c r="BP6" s="62"/>
      <c r="BQ6" s="62"/>
      <c r="BR6" s="62"/>
      <c r="BS6" s="62"/>
      <c r="BT6" s="62"/>
      <c r="BU6" s="62"/>
      <c r="BV6" s="62"/>
      <c r="BW6" s="62"/>
      <c r="BX6" s="62"/>
      <c r="BY6" s="62"/>
      <c r="BZ6" s="62"/>
      <c r="CA6" s="62"/>
      <c r="CB6" s="62"/>
      <c r="CD6" s="2"/>
      <c r="CE6" s="85" t="s">
        <v>0</v>
      </c>
      <c r="CF6" s="209" t="s">
        <v>36</v>
      </c>
      <c r="CG6" s="209"/>
      <c r="CH6" s="209"/>
      <c r="CI6" s="6"/>
      <c r="CJ6" s="6"/>
      <c r="CK6" s="6"/>
      <c r="CL6" s="6"/>
      <c r="CM6" s="6"/>
      <c r="CN6" s="6"/>
      <c r="CO6" s="6"/>
      <c r="CP6" s="6"/>
      <c r="CQ6" s="7"/>
      <c r="CR6" t="s">
        <v>41</v>
      </c>
      <c r="CS6" t="s">
        <v>34</v>
      </c>
      <c r="CT6" t="s">
        <v>30</v>
      </c>
      <c r="CU6" t="s">
        <v>31</v>
      </c>
      <c r="CV6" t="s">
        <v>32</v>
      </c>
      <c r="CW6" t="s">
        <v>33</v>
      </c>
      <c r="CX6" s="4" t="s">
        <v>22</v>
      </c>
      <c r="CY6" s="2" t="s">
        <v>112</v>
      </c>
      <c r="CZ6" t="s">
        <v>25</v>
      </c>
      <c r="DA6" t="s">
        <v>21</v>
      </c>
      <c r="DB6" s="9" t="s">
        <v>121</v>
      </c>
      <c r="DC6" t="s">
        <v>113</v>
      </c>
      <c r="DD6" t="s">
        <v>117</v>
      </c>
      <c r="DE6" t="s">
        <v>118</v>
      </c>
      <c r="DF6" t="s">
        <v>119</v>
      </c>
      <c r="DG6" t="s">
        <v>120</v>
      </c>
      <c r="DH6" t="s">
        <v>34</v>
      </c>
      <c r="DJ6" s="55" t="s">
        <v>116</v>
      </c>
      <c r="DK6" s="6"/>
      <c r="DL6" s="6"/>
      <c r="DM6" s="6"/>
      <c r="DN6" s="7" t="s">
        <v>115</v>
      </c>
      <c r="DP6" t="s">
        <v>21</v>
      </c>
      <c r="DR6" t="s">
        <v>21</v>
      </c>
      <c r="DS6" t="s">
        <v>22</v>
      </c>
      <c r="DT6" t="s">
        <v>22</v>
      </c>
      <c r="DX6" s="53">
        <v>41070.864583333336</v>
      </c>
      <c r="DZ6" s="51" t="str">
        <f t="shared" ca="1" si="0"/>
        <v>frei</v>
      </c>
      <c r="EA6" s="53" t="s">
        <v>132</v>
      </c>
      <c r="EB6" s="53" t="s">
        <v>133</v>
      </c>
      <c r="EC6" t="s">
        <v>39</v>
      </c>
      <c r="ED6" s="50">
        <v>45459.75</v>
      </c>
      <c r="EE6" t="s">
        <v>130</v>
      </c>
      <c r="EF6" t="s">
        <v>131</v>
      </c>
      <c r="EH6" t="s">
        <v>328</v>
      </c>
      <c r="EI6" t="s">
        <v>329</v>
      </c>
      <c r="EJ6">
        <v>6</v>
      </c>
      <c r="EM6" t="s">
        <v>219</v>
      </c>
      <c r="EN6" t="s">
        <v>220</v>
      </c>
    </row>
    <row r="7" spans="2:144" x14ac:dyDescent="0.2">
      <c r="B7" s="147"/>
      <c r="C7" s="148"/>
      <c r="D7" s="148"/>
      <c r="E7" s="148"/>
      <c r="F7" s="148"/>
      <c r="G7" s="148"/>
      <c r="H7" s="148"/>
      <c r="I7" s="148"/>
      <c r="J7" s="148"/>
      <c r="K7" s="148"/>
      <c r="L7" s="148"/>
      <c r="M7" s="148" t="s">
        <v>12</v>
      </c>
      <c r="N7" s="149"/>
      <c r="O7" s="148"/>
      <c r="P7" s="148"/>
      <c r="Q7" s="148" t="s">
        <v>23</v>
      </c>
      <c r="R7" s="149"/>
      <c r="T7" s="197" t="s">
        <v>111</v>
      </c>
      <c r="V7" s="147"/>
      <c r="W7" s="148"/>
      <c r="X7" s="148"/>
      <c r="Y7" s="148"/>
      <c r="Z7" s="148"/>
      <c r="AA7" s="148"/>
      <c r="AB7" s="148"/>
      <c r="AC7" s="148"/>
      <c r="AD7" s="148"/>
      <c r="AE7" s="148"/>
      <c r="AF7" s="148"/>
      <c r="AG7" s="148" t="s">
        <v>12</v>
      </c>
      <c r="AH7" s="148"/>
      <c r="AI7" s="148"/>
      <c r="AJ7" s="148"/>
      <c r="AK7" s="148" t="s">
        <v>23</v>
      </c>
      <c r="AL7" s="148"/>
      <c r="AN7" s="197" t="s">
        <v>111</v>
      </c>
      <c r="AP7" s="147"/>
      <c r="AQ7" s="148"/>
      <c r="AR7" s="148"/>
      <c r="AS7" s="148"/>
      <c r="AT7" s="148"/>
      <c r="AU7" s="148"/>
      <c r="AV7" s="148"/>
      <c r="AW7" s="148"/>
      <c r="AX7" s="148"/>
      <c r="AY7" s="148"/>
      <c r="AZ7" s="148"/>
      <c r="BA7" s="148" t="s">
        <v>12</v>
      </c>
      <c r="BB7" s="148"/>
      <c r="BC7" s="148"/>
      <c r="BD7" s="148"/>
      <c r="BE7" s="148" t="s">
        <v>23</v>
      </c>
      <c r="BF7" s="148"/>
      <c r="BH7" s="197" t="s">
        <v>111</v>
      </c>
      <c r="BJ7" s="59"/>
      <c r="BK7" s="60"/>
      <c r="BL7" s="60"/>
      <c r="BM7" s="60"/>
      <c r="BN7" s="60"/>
      <c r="BO7" s="60"/>
      <c r="BP7" s="60"/>
      <c r="BQ7" s="60"/>
      <c r="BR7" s="60"/>
      <c r="BS7" s="60"/>
      <c r="BT7" s="60"/>
      <c r="BU7" s="60"/>
      <c r="BV7" s="60"/>
      <c r="BW7" s="60"/>
      <c r="BX7" s="60"/>
      <c r="BY7" s="60"/>
      <c r="BZ7" s="60"/>
      <c r="CA7" s="61"/>
      <c r="CB7" s="63"/>
      <c r="CD7" s="2" t="s">
        <v>94</v>
      </c>
      <c r="CE7" s="8"/>
      <c r="CF7" s="9" t="s">
        <v>12</v>
      </c>
      <c r="CG7" s="9" t="s">
        <v>25</v>
      </c>
      <c r="CH7" s="9" t="s">
        <v>26</v>
      </c>
      <c r="CI7" s="206" t="s">
        <v>27</v>
      </c>
      <c r="CJ7" s="206"/>
      <c r="CK7" s="207" t="s">
        <v>35</v>
      </c>
      <c r="CL7" s="207"/>
      <c r="CM7" s="207"/>
      <c r="CN7" s="207"/>
      <c r="CO7" s="208" t="s">
        <v>28</v>
      </c>
      <c r="CP7" s="208"/>
      <c r="CQ7" s="10" t="s">
        <v>29</v>
      </c>
      <c r="CR7" s="37" t="str">
        <f t="shared" ref="CR7:CR12" si="1">IF(AE58&lt;&gt;"",COUNTIF($X$58:$X$63,AE58),"")</f>
        <v/>
      </c>
      <c r="CS7" s="86" t="s">
        <v>4</v>
      </c>
      <c r="CT7">
        <f>COUNTIF(CI$8:CJ$69,CS7&amp;"x")</f>
        <v>0</v>
      </c>
      <c r="CU7">
        <f>COUNTIF(CO$8:CP$69,CS7&amp;3)</f>
        <v>0</v>
      </c>
      <c r="CV7">
        <f>COUNTIF(CO$8:CP$69,CS7&amp;1)</f>
        <v>0</v>
      </c>
      <c r="CW7">
        <f>COUNTIF(CO$8:CP$69,CS7&amp;0)</f>
        <v>0</v>
      </c>
      <c r="CX7" s="2">
        <f>SUMIF($C$9:$C$20,CS7,$L$9:$L$20)+SUMIF($E$9:$E$20,CS7,$N$9:$N$20)</f>
        <v>0</v>
      </c>
      <c r="CY7" s="2">
        <f>SUMIF($C$9:$C$20,CS7,$N$9:$N$20)+SUMIF($E$9:$E$20,CS7,$L$9:$L$20)</f>
        <v>0</v>
      </c>
      <c r="CZ7">
        <f>CX7-CY7</f>
        <v>0</v>
      </c>
      <c r="DA7">
        <f>SUMIF(CM$8:CM$69,CS7,CN$8:CN$69)+SUMIF(CK$8:CK$69,CS7,CL$8:CL$69)</f>
        <v>0</v>
      </c>
      <c r="DB7" s="9"/>
      <c r="DC7" t="str">
        <f>IF(COUNTIF($DA$7:$DA$10,DA7)&gt;1,"dV"&amp;DA7,"")</f>
        <v>dV0</v>
      </c>
      <c r="DD7" s="56">
        <f>DA7+(SUMIF($DO$7:$DO$12,DH7,$DP$7:$DP$12)+SUMIF($DQ$7:$DQ$12,DH7,$DR$7:$DR$12))/10</f>
        <v>0</v>
      </c>
      <c r="DE7" s="47">
        <f>DF7-DG7</f>
        <v>0</v>
      </c>
      <c r="DF7" s="47">
        <f>SUMIF($DO$7:$DO$12,DH7,$DS$7:$DS$12)+SUMIF($DQ$7:$DQ$12,DH7,$DT$7:$DT$12)</f>
        <v>0</v>
      </c>
      <c r="DG7" s="47">
        <f>SUMIF($DO$7:$DO$12,DH7,$DT$7:$DT$12)+SUMIF($DQ$7:$DQ$12,DH7,$DS$7:$DS$12)</f>
        <v>0</v>
      </c>
      <c r="DH7" t="str">
        <f>CS7&amp;"dV"</f>
        <v>DeutschlanddV</v>
      </c>
      <c r="DJ7" s="8" t="str">
        <f t="shared" ref="DJ7:DJ12" si="2">CK9</f>
        <v>Deutschland</v>
      </c>
      <c r="DK7" t="str">
        <f t="shared" ref="DK7:DK12" si="3">VLOOKUP(DJ7,$CS$6:$DC$10,11,FALSE)</f>
        <v>dV0</v>
      </c>
      <c r="DL7" t="str">
        <f t="shared" ref="DL7:DL12" si="4">CM9</f>
        <v>Schottland</v>
      </c>
      <c r="DM7" t="str">
        <f t="shared" ref="DM7:DM12" si="5">VLOOKUP(DL7,$CS$6:$DC$10,11,FALSE)</f>
        <v>dV0</v>
      </c>
      <c r="DN7" s="12" t="str">
        <f t="shared" ref="DN7:DN12" si="6">IF(AND(DK7&lt;&gt;"",DM7&lt;&gt;"",DK7=DM7),RIGHT(DK7,1),"")</f>
        <v>0</v>
      </c>
      <c r="DO7" t="str">
        <f t="shared" ref="DO7:DO12" si="7">DJ7&amp;LEFT(DK7,2)</f>
        <v>DeutschlanddV</v>
      </c>
      <c r="DP7" t="str">
        <f t="shared" ref="DP7:DP12" si="8">IF(DN7&lt;&gt;"",CL9,"")</f>
        <v/>
      </c>
      <c r="DQ7" t="str">
        <f t="shared" ref="DQ7:DQ12" si="9">DL7&amp;LEFT(DM7,2)</f>
        <v>SchottlanddV</v>
      </c>
      <c r="DR7" t="str">
        <f t="shared" ref="DR7:DR12" si="10">IF(DN7&lt;&gt;"",CN9,"")</f>
        <v/>
      </c>
      <c r="DS7">
        <f t="shared" ref="DS7:DS12" si="11">IF(DN7&lt;&gt;"",VLOOKUP(DJ7&amp;DL7,$K$9:$N$19,2,FALSE),"")</f>
        <v>0</v>
      </c>
      <c r="DT7">
        <f t="shared" ref="DT7:DT12" si="12">IF(DN7&lt;&gt;"",VLOOKUP(DJ7&amp;DL7,$K$9:$N$19,4,FALSE),"")</f>
        <v>0</v>
      </c>
      <c r="DV7" s="47"/>
      <c r="DW7" s="47"/>
      <c r="DX7" s="54">
        <v>41071.75</v>
      </c>
      <c r="DZ7" s="51" t="str">
        <f t="shared" ca="1" si="0"/>
        <v>frei</v>
      </c>
      <c r="EA7" s="54" t="s">
        <v>134</v>
      </c>
      <c r="EB7" s="54" t="s">
        <v>135</v>
      </c>
      <c r="EC7" t="s">
        <v>39</v>
      </c>
      <c r="ED7" s="50">
        <v>45459.875</v>
      </c>
      <c r="EE7" t="s">
        <v>132</v>
      </c>
      <c r="EF7" t="s">
        <v>133</v>
      </c>
      <c r="EH7" t="s">
        <v>412</v>
      </c>
      <c r="EI7" t="s">
        <v>413</v>
      </c>
      <c r="EJ7">
        <v>7</v>
      </c>
      <c r="EM7" t="s">
        <v>221</v>
      </c>
      <c r="EN7" t="s">
        <v>222</v>
      </c>
    </row>
    <row r="8" spans="2:144" x14ac:dyDescent="0.2">
      <c r="T8" s="197"/>
      <c r="AN8" s="197"/>
      <c r="BH8" s="197"/>
      <c r="BJ8" s="62"/>
      <c r="BK8" s="62"/>
      <c r="BL8" s="62"/>
      <c r="BM8" s="62"/>
      <c r="BN8" s="62"/>
      <c r="BO8" s="62"/>
      <c r="BP8" s="62"/>
      <c r="BQ8" s="62"/>
      <c r="BR8" s="62"/>
      <c r="BS8" s="62"/>
      <c r="BT8" s="62"/>
      <c r="BU8" s="62"/>
      <c r="BV8" s="62"/>
      <c r="BW8" s="62"/>
      <c r="BX8" s="62"/>
      <c r="BY8" s="62"/>
      <c r="BZ8" s="62"/>
      <c r="CA8" s="62"/>
      <c r="CB8" s="63"/>
      <c r="CD8" s="2"/>
      <c r="CE8" s="11"/>
      <c r="CF8" s="118"/>
      <c r="CG8" s="118"/>
      <c r="CH8" s="118"/>
      <c r="CQ8" s="12"/>
      <c r="CR8" s="37" t="str">
        <f t="shared" si="1"/>
        <v/>
      </c>
      <c r="CS8" s="86" t="s">
        <v>511</v>
      </c>
      <c r="CT8">
        <f>COUNTIF(CI$8:CJ$69,CS8&amp;"x")</f>
        <v>0</v>
      </c>
      <c r="CU8">
        <f>COUNTIF(CO$8:CP$69,CS8&amp;3)</f>
        <v>0</v>
      </c>
      <c r="CV8">
        <f>COUNTIF(CO$8:CP$69,CS8&amp;1)</f>
        <v>0</v>
      </c>
      <c r="CW8">
        <f>COUNTIF(CO$8:CP$69,CS8&amp;0)</f>
        <v>0</v>
      </c>
      <c r="CX8" s="2">
        <f>SUMIF($C$9:$C$20,CS8,$L$9:$L$20)+SUMIF($E$9:$E$20,CS8,$N$9:$N$20)</f>
        <v>0</v>
      </c>
      <c r="CY8" s="2">
        <f>SUMIF($C$9:$C$20,CS8,$N$9:$N$20)+SUMIF($E$9:$E$20,CS8,$L$9:$L$20)</f>
        <v>0</v>
      </c>
      <c r="CZ8">
        <f>CX8-CY8</f>
        <v>0</v>
      </c>
      <c r="DA8">
        <f>SUMIF(CM$8:CM$69,CS8,CN$8:CN$69)+SUMIF(CK$8:CK$69,CS8,CL$8:CL$69)</f>
        <v>0</v>
      </c>
      <c r="DB8" s="9"/>
      <c r="DC8" t="str">
        <f>IF(COUNTIF($DA$7:$DA$10,DA8)&gt;1,"dV"&amp;DA8,"")</f>
        <v>dV0</v>
      </c>
      <c r="DD8" s="56">
        <f>DA8+(SUMIF($DO$7:$DO$12,DH8,$DP$7:$DP$12)+SUMIF($DQ$7:$DQ$12,DH8,$DR$7:$DR$12))/10</f>
        <v>0</v>
      </c>
      <c r="DE8" s="47">
        <f>DF8-DG8</f>
        <v>0</v>
      </c>
      <c r="DF8" s="47">
        <f>SUMIF($DO$7:$DO$12,DH8,$DS$7:$DS$12)+SUMIF($DQ$7:$DQ$12,DH8,$DT$7:$DT$12)</f>
        <v>0</v>
      </c>
      <c r="DG8" s="47">
        <f>SUMIF($DO$7:$DO$12,DH8,$DT$7:$DT$12)+SUMIF($DQ$7:$DQ$12,DH8,$DS$7:$DS$12)</f>
        <v>0</v>
      </c>
      <c r="DH8" t="str">
        <f>CS8&amp;"dV"</f>
        <v>SchottlanddV</v>
      </c>
      <c r="DJ8" s="8" t="str">
        <f t="shared" si="2"/>
        <v>Ungarn</v>
      </c>
      <c r="DK8" t="str">
        <f t="shared" si="3"/>
        <v>dV0</v>
      </c>
      <c r="DL8" t="str">
        <f t="shared" si="4"/>
        <v>Schweiz</v>
      </c>
      <c r="DM8" t="str">
        <f t="shared" si="5"/>
        <v>dV0</v>
      </c>
      <c r="DN8" s="12" t="str">
        <f t="shared" si="6"/>
        <v>0</v>
      </c>
      <c r="DO8" t="str">
        <f t="shared" si="7"/>
        <v>UngarndV</v>
      </c>
      <c r="DP8" t="str">
        <f t="shared" si="8"/>
        <v/>
      </c>
      <c r="DQ8" t="str">
        <f t="shared" si="9"/>
        <v>SchweizdV</v>
      </c>
      <c r="DR8" t="str">
        <f t="shared" si="10"/>
        <v/>
      </c>
      <c r="DS8">
        <f t="shared" si="11"/>
        <v>0</v>
      </c>
      <c r="DT8">
        <f t="shared" si="12"/>
        <v>0</v>
      </c>
      <c r="DV8" s="47"/>
      <c r="DW8" s="47"/>
      <c r="DX8" s="54">
        <v>41071.864583333336</v>
      </c>
      <c r="DZ8" s="51" t="str">
        <f t="shared" ca="1" si="0"/>
        <v>frei</v>
      </c>
      <c r="EA8" s="54" t="s">
        <v>136</v>
      </c>
      <c r="EB8" s="54" t="s">
        <v>137</v>
      </c>
      <c r="EC8" t="s">
        <v>40</v>
      </c>
      <c r="ED8" s="50">
        <v>45460.875</v>
      </c>
      <c r="EE8" t="s">
        <v>443</v>
      </c>
      <c r="EF8" t="s">
        <v>463</v>
      </c>
      <c r="EH8" t="s">
        <v>330</v>
      </c>
      <c r="EI8" t="s">
        <v>331</v>
      </c>
      <c r="EJ8">
        <v>8</v>
      </c>
      <c r="EM8" t="s">
        <v>223</v>
      </c>
      <c r="EN8" t="s">
        <v>224</v>
      </c>
    </row>
    <row r="9" spans="2:144" ht="15.95" customHeight="1" x14ac:dyDescent="0.2">
      <c r="C9" s="83" t="s">
        <v>4</v>
      </c>
      <c r="E9" s="83" t="s">
        <v>511</v>
      </c>
      <c r="K9" s="48" t="str">
        <f>C9&amp;E9</f>
        <v>DeutschlandSchottland</v>
      </c>
      <c r="L9" s="194"/>
      <c r="M9" s="2" t="s">
        <v>20</v>
      </c>
      <c r="N9" s="194"/>
      <c r="O9" s="2"/>
      <c r="P9" s="195"/>
      <c r="Q9" s="2" t="s">
        <v>20</v>
      </c>
      <c r="R9" s="195"/>
      <c r="T9" s="197">
        <f>CD9</f>
        <v>0</v>
      </c>
      <c r="W9" s="83" t="s">
        <v>6</v>
      </c>
      <c r="Y9" s="83" t="s">
        <v>9</v>
      </c>
      <c r="AE9" s="48" t="str">
        <f>W9&amp;Y9</f>
        <v>SpanienKroatien</v>
      </c>
      <c r="AF9" s="194"/>
      <c r="AG9" s="2" t="s">
        <v>20</v>
      </c>
      <c r="AH9" s="194"/>
      <c r="AI9" s="2"/>
      <c r="AJ9" s="195"/>
      <c r="AK9" s="2" t="s">
        <v>20</v>
      </c>
      <c r="AL9" s="195"/>
      <c r="AN9" s="197">
        <f>CD20</f>
        <v>0</v>
      </c>
      <c r="AQ9" s="83" t="s">
        <v>658</v>
      </c>
      <c r="AS9" s="83" t="s">
        <v>509</v>
      </c>
      <c r="AY9" s="48" t="str">
        <f>AQ9&amp;AS9</f>
        <v>SlowenienDänemark</v>
      </c>
      <c r="AZ9" s="194"/>
      <c r="BA9" s="2" t="s">
        <v>20</v>
      </c>
      <c r="BB9" s="194"/>
      <c r="BC9" s="2"/>
      <c r="BD9" s="195"/>
      <c r="BE9" s="2" t="s">
        <v>20</v>
      </c>
      <c r="BF9" s="195"/>
      <c r="BH9" s="197">
        <f>CD31</f>
        <v>0</v>
      </c>
      <c r="BJ9" s="62"/>
      <c r="BK9" s="62"/>
      <c r="BL9" s="62"/>
      <c r="BM9" s="62"/>
      <c r="BN9" s="62"/>
      <c r="BO9" s="62"/>
      <c r="BP9" s="62"/>
      <c r="BQ9" s="62"/>
      <c r="BR9" s="62"/>
      <c r="BS9" s="64"/>
      <c r="BT9" s="178"/>
      <c r="BU9" s="179"/>
      <c r="BV9" s="180"/>
      <c r="BW9" s="62"/>
      <c r="BX9" s="178"/>
      <c r="BY9" s="179"/>
      <c r="BZ9" s="180"/>
      <c r="CA9" s="65"/>
      <c r="CB9" s="63"/>
      <c r="CD9" s="2">
        <f>IF(OR(L9="",N9=""),0,SUM(CF9:CH9))</f>
        <v>0</v>
      </c>
      <c r="CE9" s="11"/>
      <c r="CF9" s="170" t="str">
        <f>IF(AND(L9&amp;N9=P9&amp;R9,P9&amp;R9&lt;&gt;"",L9&lt;&gt;"",N9&lt;&gt;"",P9&lt;&gt;"",R9&lt;&gt;""),Spielregeln!$D$9,"")</f>
        <v/>
      </c>
      <c r="CG9" s="170" t="str">
        <f>IF(AND(CF9="",L9-N9=P9-R9,P9&amp;R9&lt;&gt;"",L9&lt;&gt;"",N9&lt;&gt;"",P9&lt;&gt;"",R9&lt;&gt;""),IF(OR(AND(L9=N9,Spielregeln!$E$13="Tordifferenz"),L9&lt;&gt;N9),Spielregeln!$D$10,""),"")</f>
        <v/>
      </c>
      <c r="CH9" s="170" t="str">
        <f>IF(OR(L9="",N9="",P9="",R9=""),"",IF(AND(L9-N9&gt;0,CF9="",CG9="",P9-R9&gt;0),Spielregeln!$D$11,IF(AND(L9-N9=0,CF9="",CG9="",P9-R9=0,P9&amp;R9&lt;&gt;""),Spielregeln!$D$11,IF(AND(L9-N9&lt;0,CF9="",CG9="",P9-R9&lt;0),Spielregeln!$D$11,""))))</f>
        <v/>
      </c>
      <c r="CI9" t="str">
        <f>IF(AND(L9&lt;&gt;"",N9&lt;&gt;""),C9&amp;"x","")</f>
        <v/>
      </c>
      <c r="CJ9" t="str">
        <f>IF(AND(L9&lt;&gt;"",N9&lt;&gt;""),E9&amp;"x","")</f>
        <v/>
      </c>
      <c r="CK9" t="str">
        <f>C9</f>
        <v>Deutschland</v>
      </c>
      <c r="CL9" t="str">
        <f>IF(AND(L9&gt;N9,L9&lt;&gt;"",N9&lt;&gt;""),3,IF(AND(L9=N9,L9&lt;&gt;"",N9&lt;&gt;""),1,IF(OR(L9="",N9=""),"",0)))</f>
        <v/>
      </c>
      <c r="CM9" t="str">
        <f>E9</f>
        <v>Schottland</v>
      </c>
      <c r="CN9" t="str">
        <f>IF(AND(L9&lt;N9,L9&lt;&gt;"",N9&lt;&gt;""),3,IF(AND(L9=N9,L9&lt;&gt;"",N9&lt;&gt;""),1,IF(OR(L9="",N9=""),"",0)))</f>
        <v/>
      </c>
      <c r="CO9" t="str">
        <f t="shared" ref="CO9:CO14" si="13">CK9&amp;CL9</f>
        <v>Deutschland</v>
      </c>
      <c r="CP9" t="str">
        <f t="shared" ref="CP9:CP14" si="14">CM9&amp;CN9</f>
        <v>Schottland</v>
      </c>
      <c r="CQ9" s="12" t="str">
        <f>IF(L9&gt;N9,1,IF(AND(L9=N9,L9&lt;&gt;"",N9&lt;&gt;""),0,IF(L9&lt;N9,2,"")))</f>
        <v/>
      </c>
      <c r="CR9" s="37" t="str">
        <f>IF(AE60&lt;&gt;"",COUNTIF($X$58:$X$63,AE60),"")</f>
        <v/>
      </c>
      <c r="CS9" s="86" t="s">
        <v>185</v>
      </c>
      <c r="CT9">
        <f>COUNTIF(CI$8:CJ$69,CS9&amp;"x")</f>
        <v>0</v>
      </c>
      <c r="CU9">
        <f>COUNTIF(CO$8:CP$69,CS9&amp;3)</f>
        <v>0</v>
      </c>
      <c r="CV9">
        <f>COUNTIF(CO$8:CP$69,CS9&amp;1)</f>
        <v>0</v>
      </c>
      <c r="CW9">
        <f>COUNTIF(CO$8:CP$69,CS9&amp;0)</f>
        <v>0</v>
      </c>
      <c r="CX9" s="2">
        <f>SUMIF($C$9:$C$20,CS9,$L$9:$L$20)+SUMIF($E$9:$E$20,CS9,$N$9:$N$20)</f>
        <v>0</v>
      </c>
      <c r="CY9" s="2">
        <f>SUMIF($C$9:$C$20,CS9,$N$9:$N$20)+SUMIF($E$9:$E$20,CS9,$L$9:$L$20)</f>
        <v>0</v>
      </c>
      <c r="CZ9">
        <f>CX9-CY9</f>
        <v>0</v>
      </c>
      <c r="DA9">
        <f>SUMIF(CM$8:CM$69,CS9,CN$8:CN$69)+SUMIF(CK$8:CK$69,CS9,CL$8:CL$69)</f>
        <v>0</v>
      </c>
      <c r="DB9" s="9"/>
      <c r="DC9" t="str">
        <f>IF(COUNTIF($DA$7:$DA$10,DA9)&gt;1,"dV"&amp;DA9,"")</f>
        <v>dV0</v>
      </c>
      <c r="DD9" s="56">
        <f>DA9+(SUMIF($DO$7:$DO$12,DH9,$DP$7:$DP$12)+SUMIF($DQ$7:$DQ$12,DH9,$DR$7:$DR$12))/10</f>
        <v>0</v>
      </c>
      <c r="DE9" s="47">
        <f>DF9-DG9</f>
        <v>0</v>
      </c>
      <c r="DF9" s="47">
        <f>SUMIF($DO$7:$DO$12,DH9,$DS$7:$DS$12)+SUMIF($DQ$7:$DQ$12,DH9,$DT$7:$DT$12)</f>
        <v>0</v>
      </c>
      <c r="DG9" s="47">
        <f>SUMIF($DO$7:$DO$12,DH9,$DT$7:$DT$12)+SUMIF($DQ$7:$DQ$12,DH9,$DS$7:$DS$12)</f>
        <v>0</v>
      </c>
      <c r="DH9" t="str">
        <f>CS9&amp;"dV"</f>
        <v>UngarndV</v>
      </c>
      <c r="DJ9" s="8" t="str">
        <f t="shared" si="2"/>
        <v>Deutschland</v>
      </c>
      <c r="DK9" t="str">
        <f t="shared" si="3"/>
        <v>dV0</v>
      </c>
      <c r="DL9" t="str">
        <f t="shared" si="4"/>
        <v>Ungarn</v>
      </c>
      <c r="DM9" t="str">
        <f t="shared" si="5"/>
        <v>dV0</v>
      </c>
      <c r="DN9" s="12" t="str">
        <f t="shared" si="6"/>
        <v>0</v>
      </c>
      <c r="DO9" t="str">
        <f t="shared" si="7"/>
        <v>DeutschlanddV</v>
      </c>
      <c r="DP9" t="str">
        <f t="shared" si="8"/>
        <v/>
      </c>
      <c r="DQ9" t="str">
        <f t="shared" si="9"/>
        <v>UngarndV</v>
      </c>
      <c r="DR9" t="str">
        <f t="shared" si="10"/>
        <v/>
      </c>
      <c r="DS9">
        <f t="shared" si="11"/>
        <v>0</v>
      </c>
      <c r="DT9">
        <f t="shared" si="12"/>
        <v>0</v>
      </c>
      <c r="DV9" s="47"/>
      <c r="DW9" s="47"/>
      <c r="DX9" s="49">
        <v>41072.75</v>
      </c>
      <c r="DZ9" s="51" t="str">
        <f t="shared" ca="1" si="0"/>
        <v>frei</v>
      </c>
      <c r="EA9" s="49" t="s">
        <v>138</v>
      </c>
      <c r="EB9" s="49" t="s">
        <v>139</v>
      </c>
      <c r="EC9" t="s">
        <v>198</v>
      </c>
      <c r="ED9" s="50">
        <v>45460.625</v>
      </c>
      <c r="EE9" t="s">
        <v>482</v>
      </c>
      <c r="EF9" t="s">
        <v>489</v>
      </c>
      <c r="EH9" t="s">
        <v>332</v>
      </c>
      <c r="EI9" t="s">
        <v>333</v>
      </c>
      <c r="EJ9">
        <v>9</v>
      </c>
      <c r="EM9" t="s">
        <v>225</v>
      </c>
      <c r="EN9" t="s">
        <v>226</v>
      </c>
    </row>
    <row r="10" spans="2:144" x14ac:dyDescent="0.2">
      <c r="B10" s="36" t="s">
        <v>645</v>
      </c>
      <c r="K10" s="48"/>
      <c r="L10" s="2"/>
      <c r="N10" s="2"/>
      <c r="O10" s="2"/>
      <c r="P10" s="2"/>
      <c r="R10" s="2"/>
      <c r="T10" s="2"/>
      <c r="V10" s="36" t="s">
        <v>652</v>
      </c>
      <c r="AE10" s="48"/>
      <c r="AF10" s="2"/>
      <c r="AG10" s="2"/>
      <c r="AH10" s="2"/>
      <c r="AI10" s="2"/>
      <c r="AJ10" s="2"/>
      <c r="AK10" s="2"/>
      <c r="AL10" s="2"/>
      <c r="AN10" s="2"/>
      <c r="AP10" s="36" t="s">
        <v>660</v>
      </c>
      <c r="AY10" s="48"/>
      <c r="AZ10" s="2"/>
      <c r="BA10" s="2"/>
      <c r="BB10" s="2"/>
      <c r="BC10" s="2"/>
      <c r="BD10" s="2"/>
      <c r="BE10" s="2"/>
      <c r="BF10" s="2"/>
      <c r="BH10" s="2"/>
      <c r="BJ10" s="66"/>
      <c r="BK10" s="62"/>
      <c r="BL10" s="62"/>
      <c r="BM10" s="62"/>
      <c r="BN10" s="62"/>
      <c r="BO10" s="62"/>
      <c r="BP10" s="62"/>
      <c r="BQ10" s="62"/>
      <c r="BR10" s="62"/>
      <c r="BS10" s="64"/>
      <c r="BT10" s="62"/>
      <c r="BU10" s="179"/>
      <c r="BV10" s="65"/>
      <c r="BW10" s="62"/>
      <c r="BX10" s="62"/>
      <c r="BY10" s="179"/>
      <c r="BZ10" s="65"/>
      <c r="CA10" s="65"/>
      <c r="CB10" s="62"/>
      <c r="CD10" s="2">
        <f>IF(OR(L11="",N11=""),0,SUM(CF10:CH10))</f>
        <v>0</v>
      </c>
      <c r="CE10" s="11"/>
      <c r="CF10" s="170" t="str">
        <f>IF(AND(L11&amp;N11=P11&amp;R11,P11&amp;R11&lt;&gt;"",L11&lt;&gt;"",N11&lt;&gt;"",P11&lt;&gt;"",R11&lt;&gt;""),Spielregeln!$D$9,"")</f>
        <v/>
      </c>
      <c r="CG10" s="170" t="str">
        <f>IF(AND(CF10="",L11-N11=P11-R11,P11&amp;R11&lt;&gt;"",L11&lt;&gt;"",N11&lt;&gt;"",P11&lt;&gt;"",R11&lt;&gt;""),IF(OR(AND(L11=N11,Spielregeln!$E$13="Tordifferenz"),L11&lt;&gt;N11),Spielregeln!$D$10,""),"")</f>
        <v/>
      </c>
      <c r="CH10" t="str">
        <f>IF(OR(L11="",N11="",P11="",R11=""),"",IF(AND(L11-N11&gt;0,CF10="",CG10="",P11-R11&gt;0),Spielregeln!$D$11,IF(AND(L11-N11=0,CF10="",CG10="",P11-R11=0,P11&amp;R11&lt;&gt;""),Spielregeln!$D$11,IF(AND(L11-N11&lt;0,CF10="",CG10="",P11-R11&lt;0),Spielregeln!$D$11,""))))</f>
        <v/>
      </c>
      <c r="CI10" t="str">
        <f>IF(AND(L11&lt;&gt;"",N11&lt;&gt;""),C11&amp;"x","")</f>
        <v/>
      </c>
      <c r="CJ10" t="str">
        <f>IF(AND(L11&lt;&gt;"",N11&lt;&gt;""),E11&amp;"x","")</f>
        <v/>
      </c>
      <c r="CK10" t="str">
        <f>C11</f>
        <v>Ungarn</v>
      </c>
      <c r="CL10" t="str">
        <f>IF(AND(L11&gt;N11,L11&lt;&gt;"",N11&lt;&gt;""),3,IF(AND(L11=N11,L11&lt;&gt;"",N11&lt;&gt;""),1,IF(OR(L11="",N11=""),"",0)))</f>
        <v/>
      </c>
      <c r="CM10" t="str">
        <f>E11</f>
        <v>Schweiz</v>
      </c>
      <c r="CN10" t="str">
        <f>IF(AND(L11&lt;N11,L11&lt;&gt;"",N11&lt;&gt;""),3,IF(AND(L11=N11,L11&lt;&gt;"",N11&lt;&gt;""),1,IF(OR(L11="",N11=""),"",0)))</f>
        <v/>
      </c>
      <c r="CO10" t="str">
        <f t="shared" si="13"/>
        <v>Ungarn</v>
      </c>
      <c r="CP10" t="str">
        <f t="shared" si="14"/>
        <v>Schweiz</v>
      </c>
      <c r="CQ10" s="12" t="str">
        <f>IF(L11&gt;N11,1,IF(AND(L11=N11,L11&lt;&gt;"",N11&lt;&gt;""),0,IF(L11&lt;N11,2,"")))</f>
        <v/>
      </c>
      <c r="CR10" s="37" t="str">
        <f t="shared" si="1"/>
        <v/>
      </c>
      <c r="CS10" s="86" t="s">
        <v>180</v>
      </c>
      <c r="CT10">
        <f>COUNTIF(CI$8:CJ$69,CS10&amp;"x")</f>
        <v>0</v>
      </c>
      <c r="CU10">
        <f>COUNTIF(CO$8:CP$69,CS10&amp;3)</f>
        <v>0</v>
      </c>
      <c r="CV10">
        <f>COUNTIF(CO$8:CP$69,CS10&amp;1)</f>
        <v>0</v>
      </c>
      <c r="CW10">
        <f>COUNTIF(CO$8:CP$69,CS10&amp;0)</f>
        <v>0</v>
      </c>
      <c r="CX10" s="2">
        <f>SUMIF($C$9:$C$20,CS10,$L$9:$L$20)+SUMIF($E$9:$E$20,CS10,$N$9:$N$20)</f>
        <v>0</v>
      </c>
      <c r="CY10" s="2">
        <f>SUMIF($C$9:$C$20,CS10,$N$9:$N$20)+SUMIF($E$9:$E$20,CS10,$L$9:$L$20)</f>
        <v>0</v>
      </c>
      <c r="CZ10">
        <f>CX10-CY10</f>
        <v>0</v>
      </c>
      <c r="DA10">
        <f>SUMIF(CM$8:CM$69,CS10,CN$8:CN$69)+SUMIF(CK$8:CK$69,CS10,CL$8:CL$69)</f>
        <v>0</v>
      </c>
      <c r="DB10" s="9"/>
      <c r="DC10" t="str">
        <f>IF(COUNTIF($DA$7:$DA$10,DA10)&gt;1,"dV"&amp;DA10,"")</f>
        <v>dV0</v>
      </c>
      <c r="DD10" s="56">
        <f>DA10+(SUMIF($DO$7:$DO$12,DH10,$DP$7:$DP$12)+SUMIF($DQ$7:$DQ$12,DH10,$DR$7:$DR$12))/10</f>
        <v>0</v>
      </c>
      <c r="DE10" s="47">
        <f>DF10-DG10</f>
        <v>0</v>
      </c>
      <c r="DF10" s="47">
        <f>SUMIF($DO$7:$DO$12,DH10,$DS$7:$DS$12)+SUMIF($DQ$7:$DQ$12,DH10,$DT$7:$DT$12)</f>
        <v>0</v>
      </c>
      <c r="DG10" s="47">
        <f>SUMIF($DO$7:$DO$12,DH10,$DT$7:$DT$12)+SUMIF($DQ$7:$DQ$12,DH10,$DS$7:$DS$12)</f>
        <v>0</v>
      </c>
      <c r="DH10" t="str">
        <f>CS10&amp;"dV"</f>
        <v>SchweizdV</v>
      </c>
      <c r="DJ10" s="8" t="str">
        <f t="shared" si="2"/>
        <v>Schottland</v>
      </c>
      <c r="DK10" t="str">
        <f t="shared" si="3"/>
        <v>dV0</v>
      </c>
      <c r="DL10" t="str">
        <f t="shared" si="4"/>
        <v>Schweiz</v>
      </c>
      <c r="DM10" t="str">
        <f t="shared" si="5"/>
        <v>dV0</v>
      </c>
      <c r="DN10" s="12" t="str">
        <f t="shared" si="6"/>
        <v>0</v>
      </c>
      <c r="DO10" t="str">
        <f t="shared" si="7"/>
        <v>SchottlanddV</v>
      </c>
      <c r="DP10" t="str">
        <f t="shared" si="8"/>
        <v/>
      </c>
      <c r="DQ10" t="str">
        <f t="shared" si="9"/>
        <v>SchweizdV</v>
      </c>
      <c r="DR10" t="str">
        <f t="shared" si="10"/>
        <v/>
      </c>
      <c r="DS10">
        <f t="shared" si="11"/>
        <v>0</v>
      </c>
      <c r="DT10">
        <f t="shared" si="12"/>
        <v>0</v>
      </c>
      <c r="DV10" s="47"/>
      <c r="DW10" s="47"/>
      <c r="DX10" s="49">
        <v>41072.864583333336</v>
      </c>
      <c r="DZ10" s="51" t="str">
        <f t="shared" ca="1" si="0"/>
        <v>frei</v>
      </c>
      <c r="EA10" s="49" t="s">
        <v>140</v>
      </c>
      <c r="EB10" s="49" t="s">
        <v>141</v>
      </c>
      <c r="EC10" t="s">
        <v>198</v>
      </c>
      <c r="ED10" s="50">
        <v>45460.75</v>
      </c>
      <c r="EE10" t="s">
        <v>483</v>
      </c>
      <c r="EF10" t="s">
        <v>490</v>
      </c>
      <c r="EH10" t="s">
        <v>334</v>
      </c>
      <c r="EI10" t="s">
        <v>335</v>
      </c>
      <c r="EJ10">
        <v>10</v>
      </c>
      <c r="EM10" t="s">
        <v>227</v>
      </c>
      <c r="EN10" t="s">
        <v>228</v>
      </c>
    </row>
    <row r="11" spans="2:144" ht="15.95" customHeight="1" x14ac:dyDescent="0.2">
      <c r="C11" s="83" t="s">
        <v>185</v>
      </c>
      <c r="E11" s="83" t="s">
        <v>180</v>
      </c>
      <c r="K11" s="48" t="str">
        <f t="shared" ref="K11:K19" si="15">C11&amp;E11</f>
        <v>UngarnSchweiz</v>
      </c>
      <c r="L11" s="194"/>
      <c r="M11" s="2" t="s">
        <v>20</v>
      </c>
      <c r="N11" s="194"/>
      <c r="O11" s="2"/>
      <c r="P11" s="195"/>
      <c r="Q11" s="2" t="s">
        <v>20</v>
      </c>
      <c r="R11" s="195"/>
      <c r="T11" s="197">
        <f>CD10</f>
        <v>0</v>
      </c>
      <c r="W11" s="83" t="s">
        <v>7</v>
      </c>
      <c r="Y11" s="83" t="s">
        <v>651</v>
      </c>
      <c r="AE11" s="48" t="str">
        <f t="shared" ref="AE11:AE19" si="16">W11&amp;Y11</f>
        <v>ItalienAlbanien</v>
      </c>
      <c r="AF11" s="194"/>
      <c r="AG11" s="2" t="s">
        <v>20</v>
      </c>
      <c r="AH11" s="194"/>
      <c r="AI11" s="2"/>
      <c r="AJ11" s="195"/>
      <c r="AK11" s="2" t="s">
        <v>20</v>
      </c>
      <c r="AL11" s="195"/>
      <c r="AN11" s="197">
        <f>CD21</f>
        <v>0</v>
      </c>
      <c r="AQ11" s="83" t="s">
        <v>659</v>
      </c>
      <c r="AS11" s="83" t="s">
        <v>11</v>
      </c>
      <c r="AY11" s="48" t="str">
        <f t="shared" ref="AY11:AY19" si="17">AQ11&amp;AS11</f>
        <v>SerbienEngland</v>
      </c>
      <c r="AZ11" s="194"/>
      <c r="BA11" s="2" t="s">
        <v>20</v>
      </c>
      <c r="BB11" s="194"/>
      <c r="BC11" s="2"/>
      <c r="BD11" s="195"/>
      <c r="BE11" s="2" t="s">
        <v>20</v>
      </c>
      <c r="BF11" s="195"/>
      <c r="BH11" s="197">
        <f>CD32</f>
        <v>0</v>
      </c>
      <c r="BJ11" s="62"/>
      <c r="BK11" s="62"/>
      <c r="BL11" s="62"/>
      <c r="BM11" s="62"/>
      <c r="BN11" s="62"/>
      <c r="BO11" s="62"/>
      <c r="BP11" s="62"/>
      <c r="BQ11" s="62"/>
      <c r="BR11" s="62"/>
      <c r="BS11" s="64"/>
      <c r="BT11" s="178"/>
      <c r="BU11" s="179"/>
      <c r="BV11" s="180"/>
      <c r="BW11" s="62"/>
      <c r="BX11" s="178"/>
      <c r="BY11" s="179"/>
      <c r="BZ11" s="180"/>
      <c r="CA11" s="65"/>
      <c r="CB11" s="63"/>
      <c r="CD11" s="2">
        <f>IF(OR(L13="",N13=""),0,SUM(CF11:CH11))</f>
        <v>0</v>
      </c>
      <c r="CE11" s="11"/>
      <c r="CF11" s="170" t="str">
        <f>IF(AND(L13&amp;N13=P13&amp;R13,P13&amp;R13&lt;&gt;"",L13&lt;&gt;"",N13&lt;&gt;"",P13&lt;&gt;"",R13&lt;&gt;""),Spielregeln!$D$9,"")</f>
        <v/>
      </c>
      <c r="CG11" s="170" t="str">
        <f>IF(AND(CF11="",L13-N13=P13-R13,P13&amp;R13&lt;&gt;"",L13&lt;&gt;"",N13&lt;&gt;"",P13&lt;&gt;"",R13&lt;&gt;""),IF(OR(AND(L13=N13,Spielregeln!$E$13="Tordifferenz"),L13&lt;&gt;N13),Spielregeln!$D$10,""),"")</f>
        <v/>
      </c>
      <c r="CH11" t="str">
        <f>IF(OR(L13="",N13="",P13="",R13=""),"",IF(AND(L13-N13&gt;0,CF11="",CG11="",P13-R13&gt;0),Spielregeln!$D$11,IF(AND(L13-N13=0,CF11="",CG11="",P13-R13=0,P13&amp;R13&lt;&gt;""),Spielregeln!$D$11,IF(AND(L13-N13&lt;0,CF11="",CG11="",P13-R13&lt;0),Spielregeln!$D$11,""))))</f>
        <v/>
      </c>
      <c r="CI11" t="str">
        <f>IF(AND(L13&lt;&gt;"",N13&lt;&gt;""),C13&amp;"x","")</f>
        <v/>
      </c>
      <c r="CJ11" t="str">
        <f>IF(AND(L13&lt;&gt;"",N13&lt;&gt;""),E13&amp;"x","")</f>
        <v/>
      </c>
      <c r="CK11" t="str">
        <f>C13</f>
        <v>Deutschland</v>
      </c>
      <c r="CL11" t="str">
        <f>IF(AND(L13&gt;N13,L13&lt;&gt;"",N13&lt;&gt;""),3,IF(AND(L13=N13,L13&lt;&gt;"",N13&lt;&gt;""),1,IF(OR(L13="",N13=""),"",0)))</f>
        <v/>
      </c>
      <c r="CM11" t="str">
        <f>E13</f>
        <v>Ungarn</v>
      </c>
      <c r="CN11" t="str">
        <f>IF(AND(L13&lt;N13,L13&lt;&gt;"",N13&lt;&gt;""),3,IF(AND(L13=N13,L13&lt;&gt;"",N13&lt;&gt;""),1,IF(OR(L13="",N13=""),"",0)))</f>
        <v/>
      </c>
      <c r="CO11" t="str">
        <f t="shared" si="13"/>
        <v>Deutschland</v>
      </c>
      <c r="CP11" t="str">
        <f t="shared" si="14"/>
        <v>Ungarn</v>
      </c>
      <c r="CQ11" s="12" t="str">
        <f>IF(L13&gt;N13,1,IF(AND(L13=N13,L13&lt;&gt;"",N13&lt;&gt;""),0,IF(L13&lt;N13,2,"")))</f>
        <v/>
      </c>
      <c r="CR11" s="37" t="str">
        <f t="shared" si="1"/>
        <v/>
      </c>
      <c r="DJ11" s="8" t="str">
        <f t="shared" si="2"/>
        <v>Schweiz</v>
      </c>
      <c r="DK11" t="str">
        <f t="shared" si="3"/>
        <v>dV0</v>
      </c>
      <c r="DL11" t="str">
        <f t="shared" si="4"/>
        <v>Deutschland</v>
      </c>
      <c r="DM11" t="str">
        <f t="shared" si="5"/>
        <v>dV0</v>
      </c>
      <c r="DN11" s="12" t="str">
        <f t="shared" si="6"/>
        <v>0</v>
      </c>
      <c r="DO11" t="str">
        <f t="shared" si="7"/>
        <v>SchweizdV</v>
      </c>
      <c r="DP11" t="str">
        <f t="shared" si="8"/>
        <v/>
      </c>
      <c r="DQ11" t="str">
        <f t="shared" si="9"/>
        <v>DeutschlanddV</v>
      </c>
      <c r="DR11" t="str">
        <f t="shared" si="10"/>
        <v/>
      </c>
      <c r="DS11">
        <f t="shared" si="11"/>
        <v>0</v>
      </c>
      <c r="DT11">
        <f t="shared" si="12"/>
        <v>0</v>
      </c>
      <c r="DX11" s="52">
        <v>41073.75</v>
      </c>
      <c r="DZ11" s="51" t="str">
        <f t="shared" ca="1" si="0"/>
        <v>frei</v>
      </c>
      <c r="EA11" s="52" t="s">
        <v>142</v>
      </c>
      <c r="EB11" s="52" t="s">
        <v>143</v>
      </c>
      <c r="EC11" t="s">
        <v>98</v>
      </c>
      <c r="ED11" s="50">
        <v>45461.75</v>
      </c>
      <c r="EE11" t="s">
        <v>496</v>
      </c>
      <c r="EF11" t="s">
        <v>503</v>
      </c>
      <c r="EH11" t="s">
        <v>336</v>
      </c>
      <c r="EI11" t="s">
        <v>337</v>
      </c>
      <c r="EJ11">
        <v>11</v>
      </c>
      <c r="EM11" t="s">
        <v>229</v>
      </c>
      <c r="EN11" t="s">
        <v>230</v>
      </c>
    </row>
    <row r="12" spans="2:144" x14ac:dyDescent="0.2">
      <c r="B12" s="36" t="s">
        <v>646</v>
      </c>
      <c r="K12" s="48"/>
      <c r="L12" s="2"/>
      <c r="N12" s="2"/>
      <c r="O12" s="2"/>
      <c r="P12" s="2"/>
      <c r="R12" s="2"/>
      <c r="T12" s="2"/>
      <c r="V12" s="36" t="s">
        <v>653</v>
      </c>
      <c r="AE12" s="48"/>
      <c r="AF12" s="2"/>
      <c r="AG12" s="2"/>
      <c r="AH12" s="2"/>
      <c r="AI12" s="2"/>
      <c r="AJ12" s="2"/>
      <c r="AK12" s="2"/>
      <c r="AL12" s="2"/>
      <c r="AN12" s="2"/>
      <c r="AP12" s="36" t="s">
        <v>661</v>
      </c>
      <c r="AY12" s="48"/>
      <c r="AZ12" s="2"/>
      <c r="BA12" s="2"/>
      <c r="BB12" s="2"/>
      <c r="BC12" s="2"/>
      <c r="BD12" s="2"/>
      <c r="BE12" s="2"/>
      <c r="BF12" s="2"/>
      <c r="BH12" s="2"/>
      <c r="BJ12" s="66"/>
      <c r="BK12" s="62"/>
      <c r="BL12" s="62"/>
      <c r="BM12" s="62"/>
      <c r="BN12" s="62"/>
      <c r="BO12" s="62"/>
      <c r="BP12" s="62"/>
      <c r="BQ12" s="62"/>
      <c r="BR12" s="62"/>
      <c r="BS12" s="64"/>
      <c r="BT12" s="62"/>
      <c r="BU12" s="179"/>
      <c r="BV12" s="65"/>
      <c r="BW12" s="62"/>
      <c r="BX12" s="62"/>
      <c r="BY12" s="179"/>
      <c r="BZ12" s="65"/>
      <c r="CA12" s="65"/>
      <c r="CB12" s="62"/>
      <c r="CD12" s="2">
        <f>IF(OR(L15="",N15=""),0,SUM(CF12:CH12))</f>
        <v>0</v>
      </c>
      <c r="CE12" s="11"/>
      <c r="CF12" t="str">
        <f>IF(AND(L15&amp;N15=P15&amp;R15,P15&amp;R15&lt;&gt;"",L15&lt;&gt;"",N15&lt;&gt;"",P15&lt;&gt;"",R15&lt;&gt;""),Spielregeln!$D$9,"")</f>
        <v/>
      </c>
      <c r="CG12" s="170" t="str">
        <f>IF(AND(CF12="",L15-N15=P15-R15,P15&amp;R15&lt;&gt;"",L15&lt;&gt;"",L15&lt;&gt;"",N15&lt;&gt;"",P15&lt;&gt;"",R15&lt;&gt;""),IF(OR(AND(L15=N15,Spielregeln!$E$13="Tordifferenz"),L15&lt;&gt;N15),Spielregeln!$D$10,""),"")</f>
        <v/>
      </c>
      <c r="CH12" t="str">
        <f>IF(OR(L15="",N15="",P15="",R15=""),"",IF(AND(L15-N15&gt;0,CF12="",CG12="",P15-R15&gt;0),Spielregeln!$D$11,IF(AND(L15-N15=0,CF12="",CG12="",P15-R15=0,P15&amp;R15&lt;&gt;""),Spielregeln!$D$11,IF(AND(L15-N15&lt;0,CF12="",CG12="",P15-R15&lt;0),Spielregeln!$D$11,""))))</f>
        <v/>
      </c>
      <c r="CI12" t="str">
        <f>IF(AND(L15&lt;&gt;"",N15&lt;&gt;""),C15&amp;"x","")</f>
        <v/>
      </c>
      <c r="CJ12" t="str">
        <f>IF(AND(L15&lt;&gt;"",N15&lt;&gt;""),E15&amp;"x","")</f>
        <v/>
      </c>
      <c r="CK12" t="str">
        <f>C15</f>
        <v>Schottland</v>
      </c>
      <c r="CL12" t="str">
        <f>IF(AND(L15&gt;N15,L15&lt;&gt;"",N15&lt;&gt;""),3,IF(AND(L15=N15,L15&lt;&gt;"",N15&lt;&gt;""),1,IF(OR(L15="",N15=""),"",0)))</f>
        <v/>
      </c>
      <c r="CM12" t="str">
        <f>E15</f>
        <v>Schweiz</v>
      </c>
      <c r="CN12" t="str">
        <f>IF(AND(L15&lt;N15,L15&lt;&gt;"",N15&lt;&gt;""),3,IF(AND(L15=N15,L15&lt;&gt;"",N15&lt;&gt;""),1,IF(OR(L15="",N15=""),"",0)))</f>
        <v/>
      </c>
      <c r="CO12" t="str">
        <f t="shared" si="13"/>
        <v>Schottland</v>
      </c>
      <c r="CP12" t="str">
        <f t="shared" si="14"/>
        <v>Schweiz</v>
      </c>
      <c r="CQ12" s="12" t="str">
        <f>IF(L15&gt;N15,1,IF(AND(L15=N15,L15&lt;&gt;"",N15&lt;&gt;""),0,IF(L15&lt;N15,2,"")))</f>
        <v/>
      </c>
      <c r="CR12" s="37" t="str">
        <f t="shared" si="1"/>
        <v/>
      </c>
      <c r="DJ12" s="57" t="str">
        <f t="shared" si="2"/>
        <v>Schottland</v>
      </c>
      <c r="DK12" s="14" t="str">
        <f t="shared" si="3"/>
        <v>dV0</v>
      </c>
      <c r="DL12" s="14" t="str">
        <f t="shared" si="4"/>
        <v>Ungarn</v>
      </c>
      <c r="DM12" s="14" t="str">
        <f t="shared" si="5"/>
        <v>dV0</v>
      </c>
      <c r="DN12" s="15" t="str">
        <f t="shared" si="6"/>
        <v>0</v>
      </c>
      <c r="DO12" t="str">
        <f t="shared" si="7"/>
        <v>SchottlanddV</v>
      </c>
      <c r="DP12" t="str">
        <f t="shared" si="8"/>
        <v/>
      </c>
      <c r="DQ12" t="str">
        <f t="shared" si="9"/>
        <v>UngarndV</v>
      </c>
      <c r="DR12" t="str">
        <f t="shared" si="10"/>
        <v/>
      </c>
      <c r="DS12">
        <f t="shared" si="11"/>
        <v>0</v>
      </c>
      <c r="DT12">
        <f t="shared" si="12"/>
        <v>0</v>
      </c>
      <c r="DX12" s="52">
        <v>41073.864583333336</v>
      </c>
      <c r="DZ12" s="51" t="str">
        <f t="shared" ca="1" si="0"/>
        <v>frei</v>
      </c>
      <c r="EA12" s="52" t="s">
        <v>144</v>
      </c>
      <c r="EB12" s="52" t="s">
        <v>145</v>
      </c>
      <c r="EC12" t="s">
        <v>98</v>
      </c>
      <c r="ED12" s="50">
        <v>45461.875</v>
      </c>
      <c r="EE12" t="s">
        <v>497</v>
      </c>
      <c r="EF12" t="s">
        <v>504</v>
      </c>
      <c r="EH12" t="s">
        <v>338</v>
      </c>
      <c r="EI12" t="s">
        <v>339</v>
      </c>
      <c r="EJ12">
        <v>12</v>
      </c>
      <c r="EM12" t="s">
        <v>231</v>
      </c>
      <c r="EN12" t="s">
        <v>232</v>
      </c>
    </row>
    <row r="13" spans="2:144" ht="15.95" customHeight="1" x14ac:dyDescent="0.2">
      <c r="C13" s="83" t="s">
        <v>4</v>
      </c>
      <c r="E13" s="83" t="s">
        <v>185</v>
      </c>
      <c r="K13" s="48" t="str">
        <f t="shared" si="15"/>
        <v>DeutschlandUngarn</v>
      </c>
      <c r="L13" s="194"/>
      <c r="M13" s="2" t="s">
        <v>20</v>
      </c>
      <c r="N13" s="194"/>
      <c r="O13" s="2"/>
      <c r="P13" s="195"/>
      <c r="Q13" s="2" t="s">
        <v>20</v>
      </c>
      <c r="R13" s="195"/>
      <c r="T13" s="197">
        <f>CD11</f>
        <v>0</v>
      </c>
      <c r="W13" s="83" t="s">
        <v>9</v>
      </c>
      <c r="Y13" s="83" t="s">
        <v>651</v>
      </c>
      <c r="AE13" s="48" t="str">
        <f t="shared" si="16"/>
        <v>KroatienAlbanien</v>
      </c>
      <c r="AF13" s="194"/>
      <c r="AG13" s="2" t="s">
        <v>20</v>
      </c>
      <c r="AH13" s="194"/>
      <c r="AI13" s="2"/>
      <c r="AJ13" s="195"/>
      <c r="AK13" s="2" t="s">
        <v>20</v>
      </c>
      <c r="AL13" s="195"/>
      <c r="AN13" s="197">
        <f>CD22</f>
        <v>0</v>
      </c>
      <c r="AQ13" s="83" t="s">
        <v>658</v>
      </c>
      <c r="AS13" s="83" t="s">
        <v>659</v>
      </c>
      <c r="AY13" s="48" t="str">
        <f t="shared" si="17"/>
        <v>SlowenienSerbien</v>
      </c>
      <c r="AZ13" s="194"/>
      <c r="BA13" s="2" t="s">
        <v>20</v>
      </c>
      <c r="BB13" s="194"/>
      <c r="BC13" s="2"/>
      <c r="BD13" s="195"/>
      <c r="BE13" s="2" t="s">
        <v>20</v>
      </c>
      <c r="BF13" s="195"/>
      <c r="BH13" s="197">
        <f>CD33</f>
        <v>0</v>
      </c>
      <c r="BJ13" s="62"/>
      <c r="BK13" s="62"/>
      <c r="BL13" s="62"/>
      <c r="BM13" s="62"/>
      <c r="BN13" s="62"/>
      <c r="BO13" s="62"/>
      <c r="BP13" s="62"/>
      <c r="BQ13" s="62"/>
      <c r="BR13" s="62"/>
      <c r="BS13" s="64"/>
      <c r="BT13" s="178"/>
      <c r="BU13" s="179"/>
      <c r="BV13" s="180"/>
      <c r="BW13" s="62"/>
      <c r="BX13" s="178"/>
      <c r="BY13" s="179"/>
      <c r="BZ13" s="180"/>
      <c r="CA13" s="65"/>
      <c r="CB13" s="63"/>
      <c r="CD13" s="2">
        <f>IF(OR(L17="",N17=""),0,SUM(CF13:CH13))</f>
        <v>0</v>
      </c>
      <c r="CE13" s="11"/>
      <c r="CF13" t="str">
        <f>IF(AND(L17&amp;N17=P17&amp;R17,P17&amp;R17&lt;&gt;"",L17&lt;&gt;"",N17&lt;&gt;"",P17&lt;&gt;"",R17&lt;&gt;""),Spielregeln!$D$9,"")</f>
        <v/>
      </c>
      <c r="CG13" s="170" t="str">
        <f>IF(AND(CF13="",L17-N17=P17-R17,P17&amp;R17&lt;&gt;"",L17&lt;&gt;"",L17&lt;&gt;"",N17&lt;&gt;"",P17&lt;&gt;"",R17&lt;&gt;""),IF(OR(AND(L17=N17,Spielregeln!$E$13="Tordifferenz"),L17&lt;&gt;N17),Spielregeln!$D$10,""),"")</f>
        <v/>
      </c>
      <c r="CH13" t="str">
        <f>IF(OR(L17="",N17="",P17="",R17=""),"",IF(AND(L17-N17&gt;0,CF13="",CG13="",P17-R17&gt;0),Spielregeln!$D$11,IF(AND(L17-N17=0,CF13="",CG13="",P17-R17=0,P17&amp;R17&lt;&gt;""),Spielregeln!$D$11,IF(AND(L17-N17&lt;0,CF13="",CG13="",P17-R17&lt;0),Spielregeln!$D$11,""))))</f>
        <v/>
      </c>
      <c r="CI13" t="str">
        <f>IF(AND(L17&lt;&gt;"",N17&lt;&gt;""),C17&amp;"x","")</f>
        <v/>
      </c>
      <c r="CJ13" t="str">
        <f>IF(AND(L17&lt;&gt;"",N17&lt;&gt;""),E17&amp;"x","")</f>
        <v/>
      </c>
      <c r="CK13" t="str">
        <f>C17</f>
        <v>Schweiz</v>
      </c>
      <c r="CL13" t="str">
        <f>IF(AND(L17&gt;N17,L17&lt;&gt;"",N17&lt;&gt;""),3,IF(AND(L17=N17,L17&lt;&gt;"",N17&lt;&gt;""),1,IF(OR(L17="",N17=""),"",0)))</f>
        <v/>
      </c>
      <c r="CM13" t="str">
        <f>E17</f>
        <v>Deutschland</v>
      </c>
      <c r="CN13" t="str">
        <f>IF(AND(L17&lt;N17,L17&lt;&gt;"",N17&lt;&gt;""),3,IF(AND(L17=N17,L17&lt;&gt;"",N17&lt;&gt;""),1,IF(OR(L17="",N17=""),"",0)))</f>
        <v/>
      </c>
      <c r="CO13" t="str">
        <f t="shared" si="13"/>
        <v>Schweiz</v>
      </c>
      <c r="CP13" t="str">
        <f t="shared" si="14"/>
        <v>Deutschland</v>
      </c>
      <c r="CQ13" s="12" t="str">
        <f>IF(L17&gt;N17,1,IF(AND(L17=N17,L17&lt;&gt;"",N17&lt;&gt;""),0,IF(L17&lt;N17,2,"")))</f>
        <v/>
      </c>
      <c r="DX13" s="53">
        <v>41074.75</v>
      </c>
      <c r="DZ13" s="51" t="str">
        <f t="shared" ca="1" si="0"/>
        <v>frei</v>
      </c>
      <c r="EA13" s="53" t="s">
        <v>146</v>
      </c>
      <c r="EB13" s="53" t="s">
        <v>147</v>
      </c>
      <c r="EC13" t="s">
        <v>38</v>
      </c>
      <c r="ED13" s="50">
        <v>45462.625</v>
      </c>
      <c r="EE13" t="s">
        <v>142</v>
      </c>
      <c r="EF13" t="s">
        <v>143</v>
      </c>
      <c r="EH13" t="s">
        <v>414</v>
      </c>
      <c r="EI13" t="s">
        <v>415</v>
      </c>
      <c r="EJ13">
        <v>13</v>
      </c>
      <c r="EM13" t="s">
        <v>233</v>
      </c>
      <c r="EN13" t="s">
        <v>234</v>
      </c>
    </row>
    <row r="14" spans="2:144" x14ac:dyDescent="0.2">
      <c r="B14" s="36" t="s">
        <v>647</v>
      </c>
      <c r="K14" s="48"/>
      <c r="L14" s="2"/>
      <c r="N14" s="2"/>
      <c r="O14" s="2"/>
      <c r="P14" s="2"/>
      <c r="R14" s="2"/>
      <c r="T14" s="2"/>
      <c r="V14" s="36" t="s">
        <v>654</v>
      </c>
      <c r="AE14" s="48"/>
      <c r="AF14" s="2"/>
      <c r="AG14" s="2"/>
      <c r="AH14" s="2"/>
      <c r="AI14" s="2"/>
      <c r="AJ14" s="2"/>
      <c r="AK14" s="2"/>
      <c r="AL14" s="2"/>
      <c r="AN14" s="2"/>
      <c r="AP14" s="36" t="s">
        <v>662</v>
      </c>
      <c r="AY14" s="48"/>
      <c r="AZ14" s="2"/>
      <c r="BA14" s="2"/>
      <c r="BB14" s="2"/>
      <c r="BC14" s="2"/>
      <c r="BD14" s="2"/>
      <c r="BE14" s="2"/>
      <c r="BF14" s="2"/>
      <c r="BH14" s="2"/>
      <c r="BJ14" s="66"/>
      <c r="BK14" s="62"/>
      <c r="BL14" s="62"/>
      <c r="BM14" s="62"/>
      <c r="BN14" s="62"/>
      <c r="BO14" s="62"/>
      <c r="BP14" s="62"/>
      <c r="BQ14" s="62"/>
      <c r="BR14" s="62"/>
      <c r="BS14" s="64"/>
      <c r="BT14" s="62"/>
      <c r="BU14" s="179"/>
      <c r="BV14" s="65"/>
      <c r="BW14" s="62"/>
      <c r="BX14" s="62"/>
      <c r="BY14" s="179"/>
      <c r="BZ14" s="65"/>
      <c r="CA14" s="65"/>
      <c r="CB14" s="62"/>
      <c r="CD14" s="2">
        <f>IF(OR(L19="",N19=""),0,SUM(CF14:CH14))</f>
        <v>0</v>
      </c>
      <c r="CE14" s="13"/>
      <c r="CF14" s="14" t="str">
        <f>IF(AND(L19&amp;N19=P19&amp;R19,P19&amp;R19&lt;&gt;"",L19&lt;&gt;"",N19&lt;&gt;"",P19&lt;&gt;"",R19&lt;&gt;""),Spielregeln!$D$9,"")</f>
        <v/>
      </c>
      <c r="CG14" s="171" t="str">
        <f>IF(AND(CF14="",L19-N19=P19-R19,P19&amp;R19&lt;&gt;"",L19&lt;&gt;"",L19&lt;&gt;"",N19&lt;&gt;"",P19&lt;&gt;"",R19&lt;&gt;""),IF(OR(AND(L19=N19,Spielregeln!$E$13="Tordifferenz"),L19&lt;&gt;N19),Spielregeln!$D$10,""),"")</f>
        <v/>
      </c>
      <c r="CH14" s="14" t="str">
        <f>IF(OR(L19="",N19="",P19="",R19=""),"",IF(AND(L19-N19&gt;0,CF14="",CG14="",P19-R19&gt;0),Spielregeln!$D$11,IF(AND(L19-N19=0,CF14="",CG14="",P19-R19=0,P19&amp;R19&lt;&gt;""),Spielregeln!$D$11,IF(AND(L19-N19&lt;0,CF14="",CG14="",P19-R19&lt;0),Spielregeln!$D$11,""))))</f>
        <v/>
      </c>
      <c r="CI14" s="14" t="str">
        <f>IF(AND(L19&lt;&gt;"",N19&lt;&gt;""),C19&amp;"x","")</f>
        <v/>
      </c>
      <c r="CJ14" s="14" t="str">
        <f>IF(AND(L19&lt;&gt;"",N19&lt;&gt;""),E19&amp;"x","")</f>
        <v/>
      </c>
      <c r="CK14" s="14" t="str">
        <f>C19</f>
        <v>Schottland</v>
      </c>
      <c r="CL14" s="14" t="str">
        <f>IF(AND(L19&gt;N19,L19&lt;&gt;"",N19&lt;&gt;""),3,IF(AND(L19=N19,L19&lt;&gt;"",N19&lt;&gt;""),1,IF(OR(L19="",N19=""),"",0)))</f>
        <v/>
      </c>
      <c r="CM14" s="14" t="str">
        <f>E19</f>
        <v>Ungarn</v>
      </c>
      <c r="CN14" s="14" t="str">
        <f>IF(AND(L19&lt;N19,L19&lt;&gt;"",N19&lt;&gt;""),3,IF(AND(L19=N19,L19&lt;&gt;"",N19&lt;&gt;""),1,IF(OR(L19="",N19=""),"",0)))</f>
        <v/>
      </c>
      <c r="CO14" s="14" t="str">
        <f t="shared" si="13"/>
        <v>Schottland</v>
      </c>
      <c r="CP14" s="14" t="str">
        <f t="shared" si="14"/>
        <v>Ungarn</v>
      </c>
      <c r="CQ14" s="15" t="str">
        <f>IF(L19&gt;N19,1,IF(AND(L19=N19,L19&lt;&gt;"",N19&lt;&gt;""),0,IF(L19&lt;N19,2,"")))</f>
        <v/>
      </c>
      <c r="DX14" s="53">
        <v>41074.864583333336</v>
      </c>
      <c r="DZ14" s="51" t="str">
        <f t="shared" ca="1" si="0"/>
        <v>frei</v>
      </c>
      <c r="EA14" s="53" t="s">
        <v>148</v>
      </c>
      <c r="EB14" s="53" t="s">
        <v>149</v>
      </c>
      <c r="EC14" t="s">
        <v>37</v>
      </c>
      <c r="ED14" s="50">
        <v>45462.75</v>
      </c>
      <c r="EE14" t="s">
        <v>138</v>
      </c>
      <c r="EF14" t="s">
        <v>139</v>
      </c>
      <c r="EH14" t="s">
        <v>340</v>
      </c>
      <c r="EI14" t="s">
        <v>341</v>
      </c>
      <c r="EJ14">
        <v>14</v>
      </c>
      <c r="EM14" t="s">
        <v>235</v>
      </c>
      <c r="EN14" t="s">
        <v>236</v>
      </c>
    </row>
    <row r="15" spans="2:144" ht="15.95" customHeight="1" x14ac:dyDescent="0.2">
      <c r="C15" s="83" t="s">
        <v>511</v>
      </c>
      <c r="E15" s="83" t="s">
        <v>180</v>
      </c>
      <c r="K15" s="48" t="str">
        <f t="shared" si="15"/>
        <v>SchottlandSchweiz</v>
      </c>
      <c r="L15" s="194"/>
      <c r="M15" s="2" t="s">
        <v>20</v>
      </c>
      <c r="N15" s="194"/>
      <c r="O15" s="2"/>
      <c r="P15" s="195"/>
      <c r="Q15" s="2" t="s">
        <v>20</v>
      </c>
      <c r="R15" s="195"/>
      <c r="T15" s="197">
        <f>CD12</f>
        <v>0</v>
      </c>
      <c r="W15" s="83" t="s">
        <v>6</v>
      </c>
      <c r="Y15" s="83" t="s">
        <v>7</v>
      </c>
      <c r="AE15" s="48" t="str">
        <f t="shared" si="16"/>
        <v>SpanienItalien</v>
      </c>
      <c r="AF15" s="194"/>
      <c r="AG15" s="2" t="s">
        <v>20</v>
      </c>
      <c r="AH15" s="194"/>
      <c r="AI15" s="2"/>
      <c r="AJ15" s="195"/>
      <c r="AK15" s="2" t="s">
        <v>20</v>
      </c>
      <c r="AL15" s="195"/>
      <c r="AN15" s="197">
        <f>CD23</f>
        <v>0</v>
      </c>
      <c r="AQ15" s="83" t="s">
        <v>509</v>
      </c>
      <c r="AS15" s="83" t="s">
        <v>11</v>
      </c>
      <c r="AY15" s="48" t="str">
        <f t="shared" si="17"/>
        <v>DänemarkEngland</v>
      </c>
      <c r="AZ15" s="194"/>
      <c r="BA15" s="2" t="s">
        <v>20</v>
      </c>
      <c r="BB15" s="194"/>
      <c r="BC15" s="2"/>
      <c r="BD15" s="195"/>
      <c r="BE15" s="58" t="s">
        <v>20</v>
      </c>
      <c r="BF15" s="195"/>
      <c r="BH15" s="197">
        <f>CD34</f>
        <v>0</v>
      </c>
      <c r="BJ15" s="62"/>
      <c r="BK15" s="62"/>
      <c r="BL15" s="62"/>
      <c r="BM15" s="62"/>
      <c r="BN15" s="62"/>
      <c r="BO15" s="62"/>
      <c r="BP15" s="62"/>
      <c r="BQ15" s="62"/>
      <c r="BR15" s="62"/>
      <c r="BS15" s="64"/>
      <c r="BT15" s="178"/>
      <c r="BU15" s="179"/>
      <c r="BV15" s="180"/>
      <c r="BW15" s="62"/>
      <c r="BX15" s="178"/>
      <c r="BY15" s="179"/>
      <c r="BZ15" s="180"/>
      <c r="CA15" s="65"/>
      <c r="CB15" s="63"/>
      <c r="CR15" t="s">
        <v>42</v>
      </c>
      <c r="DX15" s="54">
        <v>41075.75</v>
      </c>
      <c r="DZ15" s="51" t="str">
        <f t="shared" ca="1" si="0"/>
        <v>frei</v>
      </c>
      <c r="EA15" s="54" t="s">
        <v>150</v>
      </c>
      <c r="EB15" s="54" t="s">
        <v>151</v>
      </c>
      <c r="EC15" t="s">
        <v>37</v>
      </c>
      <c r="ED15" s="50">
        <v>45462.875</v>
      </c>
      <c r="EE15" t="s">
        <v>140</v>
      </c>
      <c r="EF15" t="s">
        <v>141</v>
      </c>
      <c r="EH15" t="s">
        <v>342</v>
      </c>
      <c r="EI15" t="s">
        <v>343</v>
      </c>
      <c r="EJ15">
        <v>15</v>
      </c>
      <c r="EM15" t="s">
        <v>237</v>
      </c>
      <c r="EN15" t="s">
        <v>238</v>
      </c>
    </row>
    <row r="16" spans="2:144" x14ac:dyDescent="0.2">
      <c r="B16" s="36" t="s">
        <v>648</v>
      </c>
      <c r="K16" s="48"/>
      <c r="L16" s="2"/>
      <c r="N16" s="2"/>
      <c r="O16" s="2"/>
      <c r="P16" s="2"/>
      <c r="R16" s="2"/>
      <c r="T16" s="197"/>
      <c r="V16" s="36" t="s">
        <v>655</v>
      </c>
      <c r="AE16" s="48"/>
      <c r="AF16" s="2"/>
      <c r="AG16" s="2"/>
      <c r="AH16" s="2"/>
      <c r="AI16" s="2"/>
      <c r="AJ16" s="2"/>
      <c r="AK16" s="2"/>
      <c r="AL16" s="2"/>
      <c r="AN16" s="197"/>
      <c r="AP16" s="36" t="s">
        <v>663</v>
      </c>
      <c r="AY16" s="48"/>
      <c r="AZ16" s="2"/>
      <c r="BA16" s="2"/>
      <c r="BB16" s="2"/>
      <c r="BC16" s="2"/>
      <c r="BD16" s="2"/>
      <c r="BE16" s="2"/>
      <c r="BF16" s="2"/>
      <c r="BH16" s="197"/>
      <c r="BJ16" s="66"/>
      <c r="BK16" s="62"/>
      <c r="BL16" s="62"/>
      <c r="BM16" s="62"/>
      <c r="BN16" s="62"/>
      <c r="BO16" s="62"/>
      <c r="BP16" s="62"/>
      <c r="BQ16" s="62"/>
      <c r="BR16" s="62"/>
      <c r="BS16" s="64"/>
      <c r="BT16" s="62"/>
      <c r="BU16" s="179"/>
      <c r="BV16" s="65"/>
      <c r="BW16" s="62"/>
      <c r="BX16" s="62"/>
      <c r="BY16" s="179"/>
      <c r="BZ16" s="65"/>
      <c r="CA16" s="65"/>
      <c r="CB16" s="63"/>
      <c r="CR16" s="37" t="str">
        <f t="shared" ref="CR16:CR31" si="18">IF(AE67&lt;&gt;"",COUNTIF($X$67:$X$82,AE67),"")</f>
        <v/>
      </c>
      <c r="CS16" t="s">
        <v>1</v>
      </c>
      <c r="CX16" s="2"/>
      <c r="CY16" s="2"/>
      <c r="DX16" s="54">
        <v>41075.864583333336</v>
      </c>
      <c r="DZ16" s="51" t="str">
        <f t="shared" ca="1" si="0"/>
        <v>frei</v>
      </c>
      <c r="EA16" s="54" t="s">
        <v>152</v>
      </c>
      <c r="EB16" s="54" t="s">
        <v>153</v>
      </c>
      <c r="EC16" t="s">
        <v>39</v>
      </c>
      <c r="ED16" s="50">
        <v>45463.625</v>
      </c>
      <c r="EE16" t="s">
        <v>146</v>
      </c>
      <c r="EF16" t="s">
        <v>147</v>
      </c>
      <c r="EH16" t="s">
        <v>344</v>
      </c>
      <c r="EI16" t="s">
        <v>345</v>
      </c>
      <c r="EJ16">
        <v>16</v>
      </c>
      <c r="EM16" t="s">
        <v>239</v>
      </c>
      <c r="EN16" t="s">
        <v>240</v>
      </c>
    </row>
    <row r="17" spans="2:144" ht="15.95" customHeight="1" x14ac:dyDescent="0.2">
      <c r="C17" s="83" t="s">
        <v>180</v>
      </c>
      <c r="E17" s="83" t="s">
        <v>4</v>
      </c>
      <c r="K17" s="48" t="str">
        <f t="shared" si="15"/>
        <v>SchweizDeutschland</v>
      </c>
      <c r="L17" s="194"/>
      <c r="M17" s="2" t="s">
        <v>20</v>
      </c>
      <c r="N17" s="194"/>
      <c r="O17" s="2"/>
      <c r="P17" s="195"/>
      <c r="Q17" s="2" t="s">
        <v>20</v>
      </c>
      <c r="R17" s="195"/>
      <c r="T17" s="197">
        <f>CD13</f>
        <v>0</v>
      </c>
      <c r="W17" s="83" t="s">
        <v>9</v>
      </c>
      <c r="Y17" s="83" t="s">
        <v>7</v>
      </c>
      <c r="AE17" s="48" t="str">
        <f t="shared" si="16"/>
        <v>KroatienItalien</v>
      </c>
      <c r="AF17" s="194"/>
      <c r="AG17" s="2" t="s">
        <v>20</v>
      </c>
      <c r="AH17" s="194"/>
      <c r="AI17" s="2"/>
      <c r="AJ17" s="195"/>
      <c r="AK17" s="2" t="s">
        <v>20</v>
      </c>
      <c r="AL17" s="195"/>
      <c r="AN17" s="197">
        <f>CD24</f>
        <v>0</v>
      </c>
      <c r="AQ17" s="83" t="s">
        <v>11</v>
      </c>
      <c r="AS17" s="83" t="s">
        <v>658</v>
      </c>
      <c r="AY17" s="48" t="str">
        <f t="shared" si="17"/>
        <v>EnglandSlowenien</v>
      </c>
      <c r="AZ17" s="194"/>
      <c r="BA17" s="2" t="s">
        <v>20</v>
      </c>
      <c r="BB17" s="194"/>
      <c r="BC17" s="2"/>
      <c r="BD17" s="195"/>
      <c r="BE17" s="2" t="s">
        <v>20</v>
      </c>
      <c r="BF17" s="195"/>
      <c r="BH17" s="197">
        <f>CD35</f>
        <v>0</v>
      </c>
      <c r="BJ17" s="62"/>
      <c r="BK17" s="62"/>
      <c r="BL17" s="62"/>
      <c r="BM17" s="62"/>
      <c r="BN17" s="62"/>
      <c r="BO17" s="62"/>
      <c r="BP17" s="62"/>
      <c r="BQ17" s="62"/>
      <c r="BR17" s="62"/>
      <c r="BS17" s="64"/>
      <c r="BT17" s="178"/>
      <c r="BU17" s="179"/>
      <c r="BV17" s="180"/>
      <c r="BW17" s="62"/>
      <c r="BX17" s="178"/>
      <c r="BY17" s="179"/>
      <c r="BZ17" s="180"/>
      <c r="CA17" s="65"/>
      <c r="CB17" s="63"/>
      <c r="CD17" s="2"/>
      <c r="CE17" s="85" t="s">
        <v>1</v>
      </c>
      <c r="CF17" s="209" t="s">
        <v>36</v>
      </c>
      <c r="CG17" s="209"/>
      <c r="CH17" s="209"/>
      <c r="CI17" s="6"/>
      <c r="CJ17" s="6"/>
      <c r="CK17" s="6"/>
      <c r="CL17" s="6"/>
      <c r="CM17" s="6"/>
      <c r="CN17" s="6"/>
      <c r="CO17" s="6"/>
      <c r="CP17" s="6"/>
      <c r="CQ17" s="7"/>
      <c r="CR17" s="37" t="str">
        <f t="shared" si="18"/>
        <v/>
      </c>
      <c r="CS17" t="s">
        <v>34</v>
      </c>
      <c r="CT17" t="s">
        <v>30</v>
      </c>
      <c r="CU17" t="s">
        <v>31</v>
      </c>
      <c r="CV17" t="s">
        <v>32</v>
      </c>
      <c r="CW17" t="s">
        <v>33</v>
      </c>
      <c r="CX17" s="4" t="s">
        <v>22</v>
      </c>
      <c r="CY17" s="2" t="s">
        <v>112</v>
      </c>
      <c r="CZ17" t="s">
        <v>25</v>
      </c>
      <c r="DA17" t="s">
        <v>21</v>
      </c>
      <c r="DB17" s="9" t="s">
        <v>121</v>
      </c>
      <c r="DC17" t="s">
        <v>113</v>
      </c>
      <c r="DD17" t="s">
        <v>117</v>
      </c>
      <c r="DE17" t="s">
        <v>118</v>
      </c>
      <c r="DF17" t="s">
        <v>119</v>
      </c>
      <c r="DG17" t="s">
        <v>120</v>
      </c>
      <c r="DH17" t="s">
        <v>34</v>
      </c>
      <c r="DJ17" s="55" t="s">
        <v>116</v>
      </c>
      <c r="DK17" s="6"/>
      <c r="DL17" s="6"/>
      <c r="DM17" s="6"/>
      <c r="DN17" s="7" t="s">
        <v>115</v>
      </c>
      <c r="DP17" t="s">
        <v>21</v>
      </c>
      <c r="DR17" t="s">
        <v>21</v>
      </c>
      <c r="DS17" t="s">
        <v>22</v>
      </c>
      <c r="DT17" t="s">
        <v>22</v>
      </c>
      <c r="DX17" s="49">
        <v>41076.864583333336</v>
      </c>
      <c r="DZ17" s="51" t="str">
        <f t="shared" ca="1" si="0"/>
        <v>frei</v>
      </c>
      <c r="EA17" s="49" t="s">
        <v>154</v>
      </c>
      <c r="EB17" s="49" t="s">
        <v>155</v>
      </c>
      <c r="EC17" t="s">
        <v>38</v>
      </c>
      <c r="ED17" s="50">
        <v>45463.875</v>
      </c>
      <c r="EE17" t="s">
        <v>144</v>
      </c>
      <c r="EF17" t="s">
        <v>145</v>
      </c>
      <c r="EH17" t="s">
        <v>346</v>
      </c>
      <c r="EI17" t="s">
        <v>347</v>
      </c>
      <c r="EJ17">
        <v>17</v>
      </c>
      <c r="EM17" t="s">
        <v>241</v>
      </c>
      <c r="EN17" t="s">
        <v>242</v>
      </c>
    </row>
    <row r="18" spans="2:144" x14ac:dyDescent="0.2">
      <c r="B18" s="36" t="s">
        <v>649</v>
      </c>
      <c r="K18" s="48"/>
      <c r="L18" s="2"/>
      <c r="N18" s="2"/>
      <c r="O18" s="2"/>
      <c r="P18" s="2"/>
      <c r="R18" s="2"/>
      <c r="T18" s="197"/>
      <c r="V18" s="36" t="s">
        <v>656</v>
      </c>
      <c r="AE18" s="48"/>
      <c r="AF18" s="2"/>
      <c r="AG18" s="2"/>
      <c r="AH18" s="2"/>
      <c r="AI18" s="2"/>
      <c r="AJ18" s="2"/>
      <c r="AK18" s="2"/>
      <c r="AL18" s="2"/>
      <c r="AN18" s="197"/>
      <c r="AP18" s="36" t="s">
        <v>664</v>
      </c>
      <c r="AY18" s="48"/>
      <c r="AZ18" s="2"/>
      <c r="BA18" s="2"/>
      <c r="BB18" s="2"/>
      <c r="BC18" s="2"/>
      <c r="BD18" s="2"/>
      <c r="BE18" s="2"/>
      <c r="BF18" s="2"/>
      <c r="BH18" s="197"/>
      <c r="BJ18" s="66"/>
      <c r="BK18" s="62"/>
      <c r="BL18" s="62"/>
      <c r="BM18" s="62"/>
      <c r="BN18" s="62"/>
      <c r="BO18" s="62"/>
      <c r="BP18" s="62"/>
      <c r="BQ18" s="62"/>
      <c r="BR18" s="62"/>
      <c r="BS18" s="64"/>
      <c r="BT18" s="62"/>
      <c r="BU18" s="179"/>
      <c r="BV18" s="65"/>
      <c r="BW18" s="62"/>
      <c r="BX18" s="62"/>
      <c r="BY18" s="179"/>
      <c r="BZ18" s="65"/>
      <c r="CA18" s="65"/>
      <c r="CB18" s="63"/>
      <c r="CD18" s="2" t="s">
        <v>95</v>
      </c>
      <c r="CE18" s="8"/>
      <c r="CF18" s="9" t="s">
        <v>12</v>
      </c>
      <c r="CG18" s="9" t="s">
        <v>25</v>
      </c>
      <c r="CH18" s="9" t="s">
        <v>26</v>
      </c>
      <c r="CI18" s="206" t="s">
        <v>27</v>
      </c>
      <c r="CJ18" s="206"/>
      <c r="CK18" s="207" t="s">
        <v>35</v>
      </c>
      <c r="CL18" s="207"/>
      <c r="CM18" s="207"/>
      <c r="CN18" s="207"/>
      <c r="CO18" s="208" t="s">
        <v>28</v>
      </c>
      <c r="CP18" s="208"/>
      <c r="CQ18" s="10" t="s">
        <v>29</v>
      </c>
      <c r="CR18" s="37" t="str">
        <f t="shared" si="18"/>
        <v/>
      </c>
      <c r="CS18" s="86" t="s">
        <v>6</v>
      </c>
      <c r="CT18">
        <f>COUNTIF(CI$8:CJ$69,CS18&amp;"x")</f>
        <v>0</v>
      </c>
      <c r="CU18">
        <f>COUNTIF(CO$8:CP$69,CS18&amp;3)</f>
        <v>0</v>
      </c>
      <c r="CV18">
        <f>COUNTIF(CO$8:CP$69,CS18&amp;1)</f>
        <v>0</v>
      </c>
      <c r="CW18">
        <f>COUNTIF(CO$8:CP$69,CS18&amp;0)</f>
        <v>0</v>
      </c>
      <c r="CX18" s="2">
        <f>SUMIF($W$9:$W$20,CS18,$AF$9:$AF$20)+SUMIF($Y$9:$Y$20,CS18,$AH$9:$AH$20)</f>
        <v>0</v>
      </c>
      <c r="CY18" s="2">
        <f>SUMIF($W$9:$W$20,CS18,$AH$9:$AH$20)+SUMIF($Y$9:$Y$20,CS18,$AF$9:$AF$20)</f>
        <v>0</v>
      </c>
      <c r="CZ18">
        <f>CX18-CY18</f>
        <v>0</v>
      </c>
      <c r="DA18">
        <f>SUMIF(CM$8:CM$69,CS18,CN$8:CN$69)+SUMIF(CK$8:CK$69,CS18,CL$8:CL$69)</f>
        <v>0</v>
      </c>
      <c r="DB18" s="9"/>
      <c r="DC18" t="str">
        <f>IF(COUNTIF($DA$18:$DA$21,DA18)&gt;1,"dV"&amp;DA18,"")</f>
        <v>dV0</v>
      </c>
      <c r="DD18" s="56">
        <f>DA18+(SUMIF($DO$18:$DO$23,DH18,$DP$18:$DP$23)+SUMIF($DQ$18:$DQ$23,DH18,$DR$18:$DR$23))/10</f>
        <v>0</v>
      </c>
      <c r="DE18" s="47">
        <f>DF18-DG18</f>
        <v>0</v>
      </c>
      <c r="DF18" s="47">
        <f>SUMIF($DO$18:$DO$23,DH18,$DS$18:$DS$23)+SUMIF($DQ$18:$DQ$23,DH18,$DT$18:$DT$23)</f>
        <v>0</v>
      </c>
      <c r="DG18" s="47">
        <f>SUMIF($DO$18:$DO$23,DH18,$DT$18:$DT$23)+SUMIF($DQ$18:$DQ$23,DH18,$DS$18:$DS$23)</f>
        <v>0</v>
      </c>
      <c r="DH18" t="str">
        <f>CS18&amp;"dV"</f>
        <v>SpaniendV</v>
      </c>
      <c r="DJ18" s="8" t="str">
        <f t="shared" ref="DJ18:DJ23" si="19">CK20</f>
        <v>Spanien</v>
      </c>
      <c r="DK18" t="str">
        <f t="shared" ref="DK18:DK23" si="20">VLOOKUP(DJ18,$CS$17:$DC$21,11,FALSE)</f>
        <v>dV0</v>
      </c>
      <c r="DL18" t="str">
        <f t="shared" ref="DL18:DL23" si="21">CM20</f>
        <v>Kroatien</v>
      </c>
      <c r="DM18" t="str">
        <f t="shared" ref="DM18:DM23" si="22">VLOOKUP(DL18,$CS$17:$DC$21,11,FALSE)</f>
        <v>dV0</v>
      </c>
      <c r="DN18" s="12" t="str">
        <f t="shared" ref="DN18:DN23" si="23">IF(AND(DK18&lt;&gt;"",DM18&lt;&gt;"",DK18=DM18),RIGHT(DK18,1),"")</f>
        <v>0</v>
      </c>
      <c r="DO18" t="str">
        <f t="shared" ref="DO18:DO23" si="24">DJ18&amp;LEFT(DK18,2)</f>
        <v>SpaniendV</v>
      </c>
      <c r="DP18" t="str">
        <f t="shared" ref="DP18:DP23" si="25">IF(DN18&lt;&gt;"",CL20,"")</f>
        <v/>
      </c>
      <c r="DQ18" t="str">
        <f t="shared" ref="DQ18:DQ23" si="26">DL18&amp;LEFT(DM18,2)</f>
        <v>KroatiendV</v>
      </c>
      <c r="DR18" t="str">
        <f t="shared" ref="DR18:DR23" si="27">IF(DN18&lt;&gt;"",CN20,"")</f>
        <v/>
      </c>
      <c r="DS18">
        <f t="shared" ref="DS18:DS23" si="28">IF(DN18&lt;&gt;"",VLOOKUP(DJ18&amp;DL18,$AE$9:$AH$19,2,FALSE),"")</f>
        <v>0</v>
      </c>
      <c r="DT18">
        <f t="shared" ref="DT18:DT23" si="29">IF(DN18&lt;&gt;"",VLOOKUP(DJ18&amp;DL18,$AE$9:$AH$19,4,FALSE),"")</f>
        <v>0</v>
      </c>
      <c r="DX18" s="52">
        <v>41077.864583333336</v>
      </c>
      <c r="DZ18" s="51" t="str">
        <f t="shared" ca="1" si="0"/>
        <v>frei</v>
      </c>
      <c r="EA18" s="52" t="s">
        <v>156</v>
      </c>
      <c r="EB18" s="52" t="s">
        <v>157</v>
      </c>
      <c r="EC18" t="s">
        <v>39</v>
      </c>
      <c r="ED18" s="50">
        <v>45463.75</v>
      </c>
      <c r="EE18" t="s">
        <v>148</v>
      </c>
      <c r="EF18" t="s">
        <v>149</v>
      </c>
      <c r="EH18" t="s">
        <v>348</v>
      </c>
      <c r="EI18" t="s">
        <v>349</v>
      </c>
      <c r="EJ18">
        <v>18</v>
      </c>
      <c r="EM18" t="s">
        <v>243</v>
      </c>
      <c r="EN18" t="s">
        <v>244</v>
      </c>
    </row>
    <row r="19" spans="2:144" ht="15.95" customHeight="1" x14ac:dyDescent="0.2">
      <c r="C19" s="83" t="s">
        <v>511</v>
      </c>
      <c r="E19" s="83" t="s">
        <v>185</v>
      </c>
      <c r="K19" s="48" t="str">
        <f t="shared" si="15"/>
        <v>SchottlandUngarn</v>
      </c>
      <c r="L19" s="194"/>
      <c r="M19" s="2" t="s">
        <v>20</v>
      </c>
      <c r="N19" s="194"/>
      <c r="O19" s="2"/>
      <c r="P19" s="195"/>
      <c r="Q19" s="2" t="s">
        <v>20</v>
      </c>
      <c r="R19" s="195"/>
      <c r="T19" s="197">
        <f>CD14</f>
        <v>0</v>
      </c>
      <c r="W19" s="83" t="s">
        <v>651</v>
      </c>
      <c r="Y19" s="83" t="s">
        <v>6</v>
      </c>
      <c r="AE19" s="48" t="str">
        <f t="shared" si="16"/>
        <v>AlbanienSpanien</v>
      </c>
      <c r="AF19" s="194"/>
      <c r="AG19" s="2" t="s">
        <v>20</v>
      </c>
      <c r="AH19" s="194"/>
      <c r="AI19" s="2"/>
      <c r="AJ19" s="195"/>
      <c r="AK19" s="2" t="s">
        <v>20</v>
      </c>
      <c r="AL19" s="195"/>
      <c r="AN19" s="197">
        <f>CD25</f>
        <v>0</v>
      </c>
      <c r="AQ19" s="83" t="s">
        <v>509</v>
      </c>
      <c r="AS19" s="83" t="s">
        <v>659</v>
      </c>
      <c r="AY19" s="48" t="str">
        <f t="shared" si="17"/>
        <v>DänemarkSerbien</v>
      </c>
      <c r="AZ19" s="194"/>
      <c r="BA19" s="2" t="s">
        <v>20</v>
      </c>
      <c r="BB19" s="194"/>
      <c r="BC19" s="2"/>
      <c r="BD19" s="195"/>
      <c r="BE19" s="2" t="s">
        <v>20</v>
      </c>
      <c r="BF19" s="195"/>
      <c r="BH19" s="197">
        <f>CD36</f>
        <v>0</v>
      </c>
      <c r="BJ19" s="62"/>
      <c r="BK19" s="62"/>
      <c r="BL19" s="62"/>
      <c r="BM19" s="62"/>
      <c r="BN19" s="62"/>
      <c r="BO19" s="62"/>
      <c r="BP19" s="62"/>
      <c r="BQ19" s="62"/>
      <c r="BR19" s="62"/>
      <c r="BS19" s="64"/>
      <c r="BT19" s="178"/>
      <c r="BU19" s="179"/>
      <c r="BV19" s="180"/>
      <c r="BW19" s="62"/>
      <c r="BX19" s="178"/>
      <c r="BY19" s="179"/>
      <c r="BZ19" s="180"/>
      <c r="CA19" s="65"/>
      <c r="CB19" s="63"/>
      <c r="CD19" s="2"/>
      <c r="CE19" s="11"/>
      <c r="CQ19" s="12"/>
      <c r="CR19" s="37" t="str">
        <f t="shared" si="18"/>
        <v/>
      </c>
      <c r="CS19" s="86" t="s">
        <v>9</v>
      </c>
      <c r="CT19">
        <f>COUNTIF(CI$8:CJ$69,CS19&amp;"x")</f>
        <v>0</v>
      </c>
      <c r="CU19">
        <f>COUNTIF(CO$8:CP$69,CS19&amp;3)</f>
        <v>0</v>
      </c>
      <c r="CV19">
        <f>COUNTIF(CO$8:CP$69,CS19&amp;1)</f>
        <v>0</v>
      </c>
      <c r="CW19">
        <f>COUNTIF(CO$8:CP$69,CS19&amp;0)</f>
        <v>0</v>
      </c>
      <c r="CX19" s="2">
        <f>SUMIF($W$9:$W$20,CS19,$AF$9:$AF$20)+SUMIF($Y$9:$Y$20,CS19,$AH$9:$AH$20)</f>
        <v>0</v>
      </c>
      <c r="CY19" s="2">
        <f>SUMIF($W$9:$W$20,CS19,$AH$9:$AH$20)+SUMIF($Y$9:$Y$20,CS19,$AF$9:$AF$20)</f>
        <v>0</v>
      </c>
      <c r="CZ19">
        <f>CX19-CY19</f>
        <v>0</v>
      </c>
      <c r="DA19">
        <f>SUMIF(CM$8:CM$69,CS19,CN$8:CN$69)+SUMIF(CK$8:CK$69,CS19,CL$8:CL$69)</f>
        <v>0</v>
      </c>
      <c r="DB19" s="9"/>
      <c r="DC19" t="str">
        <f>IF(COUNTIF($DA$18:$DA$21,DA19)&gt;1,"dV"&amp;DA19,"")</f>
        <v>dV0</v>
      </c>
      <c r="DD19" s="56">
        <f>DA19+(SUMIF($DO$18:$DO$23,DH19,$DP$18:$DP$23)+SUMIF($DQ$18:$DQ$23,DH19,$DR$18:$DR$23))/10</f>
        <v>0</v>
      </c>
      <c r="DE19" s="47">
        <f>DF19-DG19</f>
        <v>0</v>
      </c>
      <c r="DF19" s="47">
        <f>SUMIF($DO$18:$DO$23,DH19,$DS$18:$DS$23)+SUMIF($DQ$18:$DQ$23,DH19,$DT$18:$DT$23)</f>
        <v>0</v>
      </c>
      <c r="DG19" s="47">
        <f>SUMIF($DO$18:$DO$23,DH19,$DT$18:$DT$23)+SUMIF($DQ$18:$DQ$23,DH19,$DS$18:$DS$23)</f>
        <v>0</v>
      </c>
      <c r="DH19" t="str">
        <f>CS19&amp;"dV"</f>
        <v>KroatiendV</v>
      </c>
      <c r="DJ19" s="8" t="str">
        <f t="shared" si="19"/>
        <v>Italien</v>
      </c>
      <c r="DK19" t="str">
        <f t="shared" si="20"/>
        <v>dV0</v>
      </c>
      <c r="DL19" t="str">
        <f t="shared" si="21"/>
        <v>Albanien</v>
      </c>
      <c r="DM19" t="str">
        <f t="shared" si="22"/>
        <v>dV0</v>
      </c>
      <c r="DN19" s="12" t="str">
        <f t="shared" si="23"/>
        <v>0</v>
      </c>
      <c r="DO19" t="str">
        <f t="shared" si="24"/>
        <v>ItaliendV</v>
      </c>
      <c r="DP19" t="str">
        <f t="shared" si="25"/>
        <v/>
      </c>
      <c r="DQ19" t="str">
        <f t="shared" si="26"/>
        <v>AlbaniendV</v>
      </c>
      <c r="DR19" t="str">
        <f t="shared" si="27"/>
        <v/>
      </c>
      <c r="DS19">
        <f t="shared" si="28"/>
        <v>0</v>
      </c>
      <c r="DT19">
        <f t="shared" si="29"/>
        <v>0</v>
      </c>
      <c r="DX19" s="53">
        <v>41078.864583333336</v>
      </c>
      <c r="DZ19" s="51" t="str">
        <f t="shared" ca="1" si="0"/>
        <v>frei</v>
      </c>
      <c r="EA19" s="53" t="s">
        <v>158</v>
      </c>
      <c r="EB19" s="53" t="s">
        <v>159</v>
      </c>
      <c r="EC19" t="s">
        <v>198</v>
      </c>
      <c r="ED19" s="50">
        <v>45464.625</v>
      </c>
      <c r="EE19" t="s">
        <v>484</v>
      </c>
      <c r="EF19" t="s">
        <v>491</v>
      </c>
      <c r="EG19">
        <v>37</v>
      </c>
      <c r="EH19" t="s">
        <v>350</v>
      </c>
      <c r="EI19" t="s">
        <v>351</v>
      </c>
      <c r="EJ19">
        <v>19</v>
      </c>
      <c r="EM19" t="s">
        <v>245</v>
      </c>
      <c r="EN19" t="s">
        <v>246</v>
      </c>
    </row>
    <row r="20" spans="2:144" x14ac:dyDescent="0.2">
      <c r="B20" s="36" t="s">
        <v>650</v>
      </c>
      <c r="T20" s="197"/>
      <c r="V20" s="36" t="s">
        <v>657</v>
      </c>
      <c r="AG20" s="2"/>
      <c r="AN20" s="197"/>
      <c r="AP20" s="36" t="s">
        <v>665</v>
      </c>
      <c r="BA20" s="2"/>
      <c r="BH20" s="197"/>
      <c r="BJ20" s="66"/>
      <c r="BK20" s="62"/>
      <c r="BL20" s="62"/>
      <c r="BM20" s="62"/>
      <c r="BN20" s="62"/>
      <c r="BO20" s="62"/>
      <c r="BP20" s="62"/>
      <c r="BQ20" s="62"/>
      <c r="BR20" s="62"/>
      <c r="BS20" s="62"/>
      <c r="BT20" s="62"/>
      <c r="BU20" s="179"/>
      <c r="BV20" s="62"/>
      <c r="BW20" s="62"/>
      <c r="BX20" s="62"/>
      <c r="BY20" s="62"/>
      <c r="BZ20" s="62"/>
      <c r="CA20" s="62"/>
      <c r="CB20" s="63"/>
      <c r="CD20" s="2">
        <f>IF(OR(AF9="",AH9=""),0,SUM(CF20:CH20))</f>
        <v>0</v>
      </c>
      <c r="CE20" s="11"/>
      <c r="CF20" t="str">
        <f>IF(AND(AF9&amp;AH9=AJ9&amp;AL9,AJ9&amp;AL9&lt;&gt;"",AF9&lt;&gt;"",AH9&lt;&gt;"",AJ9&lt;&gt;"",AL9&lt;&gt;""),Spielregeln!$D$9,"")</f>
        <v/>
      </c>
      <c r="CG20" t="str">
        <f>IF(AND(CF20="",AF9-AH9=AJ9-AL9,AJ9&amp;AL9&lt;&gt;"",AF9&lt;&gt;"",AH9&lt;&gt;"",AJ9&lt;&gt;"",AL9&lt;&gt;""),IF(OR(AND(AF9=AH9,Spielregeln!$E$13="Tordifferenz"),AF9&lt;&gt;AH9),Spielregeln!$D$10,""),"")</f>
        <v/>
      </c>
      <c r="CH20" t="str">
        <f>IF(OR(AF9="",AH9="",AJ9="",AL9=""),"",IF(AND(AF9-AH9&gt;0,CF20="",CG20="",AJ9-AL9&gt;0),Spielregeln!$D$11,IF(AND(AF9-AH9=0,CF20="",CG20="",AJ9-AL9=0,AJ9&amp;AL9&lt;&gt;""),Spielregeln!$D$11,IF(AND(AF9-AH9&lt;0,CF20="",CG20="",AJ9-AL9&lt;0),Spielregeln!$D$11,""))))</f>
        <v/>
      </c>
      <c r="CI20" t="str">
        <f>IF(AND(AF9&lt;&gt;"",AH9&lt;&gt;""),W9&amp;"x","")</f>
        <v/>
      </c>
      <c r="CJ20" t="str">
        <f>IF(AND(AF9&lt;&gt;"",AH9&lt;&gt;""),Y9&amp;"x","")</f>
        <v/>
      </c>
      <c r="CK20" t="str">
        <f>W9</f>
        <v>Spanien</v>
      </c>
      <c r="CL20" t="str">
        <f>IF(AND(AF9&gt;AH9,AF9&lt;&gt;"",AH9&lt;&gt;""),3,IF(AND(AF9=AH9,AF9&lt;&gt;"",AH9&lt;&gt;""),1,IF(OR(AF9="",AH9=""),"",0)))</f>
        <v/>
      </c>
      <c r="CM20" t="str">
        <f>Y9</f>
        <v>Kroatien</v>
      </c>
      <c r="CN20" t="str">
        <f>IF(AND(AF9&lt;AH9,AF9&lt;&gt;"",AH9&lt;&gt;""),3,IF(AND(AF9=AH9,AF9&lt;&gt;"",AH9&lt;&gt;""),1,IF(OR(AF9="",AH9=""),"",0)))</f>
        <v/>
      </c>
      <c r="CO20" t="str">
        <f t="shared" ref="CO20:CO25" si="30">CK20&amp;CL20</f>
        <v>Spanien</v>
      </c>
      <c r="CP20" t="str">
        <f t="shared" ref="CP20:CP25" si="31">CM20&amp;CN20</f>
        <v>Kroatien</v>
      </c>
      <c r="CQ20" s="12" t="str">
        <f>IF(AF9&gt;AH9,1,IF(AND(AF9=AH9,AF9&lt;&gt;"",AH9&lt;&gt;""),0,IF(AF9&lt;AH9,2,"")))</f>
        <v/>
      </c>
      <c r="CR20" s="37" t="str">
        <f t="shared" si="18"/>
        <v/>
      </c>
      <c r="CS20" s="86" t="s">
        <v>7</v>
      </c>
      <c r="CT20">
        <f>COUNTIF(CI$8:CJ$69,CS20&amp;"x")</f>
        <v>0</v>
      </c>
      <c r="CU20">
        <f>COUNTIF(CO$8:CP$69,CS20&amp;3)</f>
        <v>0</v>
      </c>
      <c r="CV20">
        <f>COUNTIF(CO$8:CP$69,CS20&amp;1)</f>
        <v>0</v>
      </c>
      <c r="CW20">
        <f>COUNTIF(CO$8:CP$69,CS20&amp;0)</f>
        <v>0</v>
      </c>
      <c r="CX20" s="2">
        <f>SUMIF($W$9:$W$20,CS20,$AF$9:$AF$20)+SUMIF($Y$9:$Y$20,CS20,$AH$9:$AH$20)</f>
        <v>0</v>
      </c>
      <c r="CY20" s="2">
        <f>SUMIF($W$9:$W$20,CS20,$AH$9:$AH$20)+SUMIF($Y$9:$Y$20,CS20,$AF$9:$AF$20)</f>
        <v>0</v>
      </c>
      <c r="CZ20">
        <f>CX20-CY20</f>
        <v>0</v>
      </c>
      <c r="DA20">
        <f>SUMIF(CM$8:CM$69,CS20,CN$8:CN$69)+SUMIF(CK$8:CK$69,CS20,CL$8:CL$69)</f>
        <v>0</v>
      </c>
      <c r="DB20" s="9"/>
      <c r="DC20" t="str">
        <f>IF(COUNTIF($DA$18:$DA$21,DA20)&gt;1,"dV"&amp;DA20,"")</f>
        <v>dV0</v>
      </c>
      <c r="DD20" s="56">
        <f>DA20+(SUMIF($DO$18:$DO$23,DH20,$DP$18:$DP$23)+SUMIF($DQ$18:$DQ$23,DH20,$DR$18:$DR$23))/10</f>
        <v>0</v>
      </c>
      <c r="DE20" s="47">
        <f>DF20-DG20</f>
        <v>0</v>
      </c>
      <c r="DF20" s="47">
        <f>SUMIF($DO$18:$DO$23,DH20,$DS$18:$DS$23)+SUMIF($DQ$18:$DQ$23,DH20,$DT$18:$DT$23)</f>
        <v>0</v>
      </c>
      <c r="DG20" s="47">
        <f>SUMIF($DO$18:$DO$23,DH20,$DT$18:$DT$23)+SUMIF($DQ$18:$DQ$23,DH20,$DS$18:$DS$23)</f>
        <v>0</v>
      </c>
      <c r="DH20" t="str">
        <f>CS20&amp;"dV"</f>
        <v>ItaliendV</v>
      </c>
      <c r="DJ20" s="8" t="str">
        <f t="shared" si="19"/>
        <v>Kroatien</v>
      </c>
      <c r="DK20" t="str">
        <f t="shared" si="20"/>
        <v>dV0</v>
      </c>
      <c r="DL20" t="str">
        <f t="shared" si="21"/>
        <v>Albanien</v>
      </c>
      <c r="DM20" t="str">
        <f t="shared" si="22"/>
        <v>dV0</v>
      </c>
      <c r="DN20" s="12" t="str">
        <f t="shared" si="23"/>
        <v>0</v>
      </c>
      <c r="DO20" t="str">
        <f t="shared" si="24"/>
        <v>KroatiendV</v>
      </c>
      <c r="DP20" t="str">
        <f t="shared" si="25"/>
        <v/>
      </c>
      <c r="DQ20" t="str">
        <f t="shared" si="26"/>
        <v>AlbaniendV</v>
      </c>
      <c r="DR20" t="str">
        <f t="shared" si="27"/>
        <v/>
      </c>
      <c r="DS20">
        <f t="shared" si="28"/>
        <v>0</v>
      </c>
      <c r="DT20">
        <f t="shared" si="29"/>
        <v>0</v>
      </c>
      <c r="DX20" s="54">
        <v>41079.864583333336</v>
      </c>
      <c r="DZ20" s="51" t="str">
        <f t="shared" ca="1" si="0"/>
        <v>frei</v>
      </c>
      <c r="EA20" s="54" t="s">
        <v>160</v>
      </c>
      <c r="EB20" s="54" t="s">
        <v>161</v>
      </c>
      <c r="EC20" t="s">
        <v>40</v>
      </c>
      <c r="ED20" s="50">
        <v>45464.75</v>
      </c>
      <c r="EE20" t="s">
        <v>168</v>
      </c>
      <c r="EF20" t="s">
        <v>169</v>
      </c>
      <c r="EG20">
        <v>39</v>
      </c>
      <c r="EH20" t="s">
        <v>352</v>
      </c>
      <c r="EI20" t="s">
        <v>353</v>
      </c>
      <c r="EJ20">
        <v>20</v>
      </c>
      <c r="EM20" t="s">
        <v>247</v>
      </c>
      <c r="EN20" t="s">
        <v>248</v>
      </c>
    </row>
    <row r="21" spans="2:144" ht="13.5" thickBot="1" x14ac:dyDescent="0.25">
      <c r="T21" s="197"/>
      <c r="AN21" s="197"/>
      <c r="BH21" s="197"/>
      <c r="BJ21" s="62"/>
      <c r="BK21" s="62"/>
      <c r="BL21" s="62"/>
      <c r="BM21" s="62"/>
      <c r="BN21" s="62"/>
      <c r="BO21" s="62"/>
      <c r="BP21" s="62"/>
      <c r="BQ21" s="62"/>
      <c r="BR21" s="62"/>
      <c r="BS21" s="62"/>
      <c r="BT21" s="62"/>
      <c r="BU21" s="62"/>
      <c r="BV21" s="62"/>
      <c r="BW21" s="62"/>
      <c r="BX21" s="62"/>
      <c r="BY21" s="62"/>
      <c r="BZ21" s="62"/>
      <c r="CA21" s="62"/>
      <c r="CB21" s="63"/>
      <c r="CD21" s="2">
        <f>IF(OR(AF11="",AH11=""),0,SUM(CF21:CH21))</f>
        <v>0</v>
      </c>
      <c r="CE21" s="11"/>
      <c r="CF21" t="str">
        <f>IF(AND(AF11&amp;AH11=AJ11&amp;AL11,AJ11&amp;AL11&lt;&gt;"",AF11&lt;&gt;"",AH11&lt;&gt;"",AJ11&lt;&gt;"",AL11&lt;&gt;""),Spielregeln!$D$9,"")</f>
        <v/>
      </c>
      <c r="CG21" t="str">
        <f>IF(AND(CF21="",AF11-AH11=AJ11-AL11,AJ11&amp;AL11&lt;&gt;"",AF11&lt;&gt;"",AH11&lt;&gt;"",AJ11&lt;&gt;"",AL11&lt;&gt;""),IF(OR(AND(AF11=AH11,Spielregeln!$E$13="Tordifferenz"),AF11&lt;&gt;AH11),Spielregeln!$D$10,""),"")</f>
        <v/>
      </c>
      <c r="CH21" t="str">
        <f>IF(OR(AF11="",AH11="",AJ11="",AL11=""),"",IF(AND(AF11-AH11&gt;0,CF21="",CG21="",AJ11-AL11&gt;0),Spielregeln!$D$11,IF(AND(AF11-AH11=0,CF21="",CG21="",AJ11-AL11=0,AJ11&amp;AL11&lt;&gt;""),Spielregeln!$D$11,IF(AND(AF11-AH11&lt;0,CF21="",CG21="",AJ11-AL11&lt;0),Spielregeln!$D$11,""))))</f>
        <v/>
      </c>
      <c r="CI21" t="str">
        <f>IF(AND(AF11&lt;&gt;"",AH11&lt;&gt;""),W11&amp;"x","")</f>
        <v/>
      </c>
      <c r="CJ21" t="str">
        <f>IF(AND(AF11&lt;&gt;"",AH11&lt;&gt;""),Y11&amp;"x","")</f>
        <v/>
      </c>
      <c r="CK21" t="str">
        <f>W11</f>
        <v>Italien</v>
      </c>
      <c r="CL21" t="str">
        <f>IF(AND(AF11&gt;AH11,AF11&lt;&gt;"",AH11&lt;&gt;""),3,IF(AND(AF11=AH11,AF11&lt;&gt;"",AH11&lt;&gt;""),1,IF(OR(AF11="",AH11=""),"",0)))</f>
        <v/>
      </c>
      <c r="CM21" t="str">
        <f>Y11</f>
        <v>Albanien</v>
      </c>
      <c r="CN21" t="str">
        <f>IF(AND(AF11&lt;AH11,AF11&lt;&gt;"",AH11&lt;&gt;""),3,IF(AND(AF11=AH11,AF11&lt;&gt;"",AH11&lt;&gt;""),1,IF(OR(AF11="",AH11=""),"",0)))</f>
        <v/>
      </c>
      <c r="CO21" t="str">
        <f t="shared" si="30"/>
        <v>Italien</v>
      </c>
      <c r="CP21" t="str">
        <f t="shared" si="31"/>
        <v>Albanien</v>
      </c>
      <c r="CQ21" s="12" t="str">
        <f>IF(AF11&gt;AH11,1,IF(AND(AF11=AH11,AF11&lt;&gt;"",AH11&lt;&gt;""),0,IF(AF11&lt;AH11,2,"")))</f>
        <v/>
      </c>
      <c r="CR21" s="37" t="str">
        <f t="shared" si="18"/>
        <v/>
      </c>
      <c r="CS21" s="86" t="s">
        <v>651</v>
      </c>
      <c r="CT21">
        <f>COUNTIF(CI$8:CJ$69,CS21&amp;"x")</f>
        <v>0</v>
      </c>
      <c r="CU21">
        <f>COUNTIF(CO$8:CP$69,CS21&amp;3)</f>
        <v>0</v>
      </c>
      <c r="CV21">
        <f>COUNTIF(CO$8:CP$69,CS21&amp;1)</f>
        <v>0</v>
      </c>
      <c r="CW21">
        <f>COUNTIF(CO$8:CP$69,CS21&amp;0)</f>
        <v>0</v>
      </c>
      <c r="CX21" s="2">
        <f>SUMIF($W$9:$W$20,CS21,$AF$9:$AF$20)+SUMIF($Y$9:$Y$20,CS21,$AH$9:$AH$20)</f>
        <v>0</v>
      </c>
      <c r="CY21" s="2">
        <f>SUMIF($W$9:$W$20,CS21,$AH$9:$AH$20)+SUMIF($Y$9:$Y$20,CS21,$AF$9:$AF$20)</f>
        <v>0</v>
      </c>
      <c r="CZ21">
        <f>CX21-CY21</f>
        <v>0</v>
      </c>
      <c r="DA21">
        <f>SUMIF(CM$8:CM$69,CS21,CN$8:CN$69)+SUMIF(CK$8:CK$69,CS21,CL$8:CL$69)</f>
        <v>0</v>
      </c>
      <c r="DB21" s="9"/>
      <c r="DC21" t="str">
        <f>IF(COUNTIF($DA$18:$DA$21,DA21)&gt;1,"dV"&amp;DA21,"")</f>
        <v>dV0</v>
      </c>
      <c r="DD21" s="56">
        <f>DA21+(SUMIF($DO$18:$DO$23,DH21,$DP$18:$DP$23)+SUMIF($DQ$18:$DQ$23,DH21,$DR$18:$DR$23))/10</f>
        <v>0</v>
      </c>
      <c r="DE21" s="47">
        <f>DF21-DG21</f>
        <v>0</v>
      </c>
      <c r="DF21" s="47">
        <f>SUMIF($DO$18:$DO$23,DH21,$DS$18:$DS$23)+SUMIF($DQ$18:$DQ$23,DH21,$DT$18:$DT$23)</f>
        <v>0</v>
      </c>
      <c r="DG21" s="47">
        <f>SUMIF($DO$18:$DO$23,DH21,$DT$18:$DT$23)+SUMIF($DQ$18:$DQ$23,DH21,$DS$18:$DS$23)</f>
        <v>0</v>
      </c>
      <c r="DH21" t="str">
        <f>CS21&amp;"dV"</f>
        <v>AlbaniendV</v>
      </c>
      <c r="DJ21" s="8" t="str">
        <f t="shared" si="19"/>
        <v>Spanien</v>
      </c>
      <c r="DK21" t="str">
        <f t="shared" si="20"/>
        <v>dV0</v>
      </c>
      <c r="DL21" t="str">
        <f t="shared" si="21"/>
        <v>Italien</v>
      </c>
      <c r="DM21" t="str">
        <f t="shared" si="22"/>
        <v>dV0</v>
      </c>
      <c r="DN21" s="12" t="str">
        <f t="shared" si="23"/>
        <v>0</v>
      </c>
      <c r="DO21" t="str">
        <f t="shared" si="24"/>
        <v>SpaniendV</v>
      </c>
      <c r="DP21" t="str">
        <f t="shared" si="25"/>
        <v/>
      </c>
      <c r="DQ21" t="str">
        <f t="shared" si="26"/>
        <v>ItaliendV</v>
      </c>
      <c r="DR21" t="str">
        <f t="shared" si="27"/>
        <v/>
      </c>
      <c r="DS21">
        <f t="shared" si="28"/>
        <v>0</v>
      </c>
      <c r="DT21">
        <f t="shared" si="29"/>
        <v>0</v>
      </c>
      <c r="DX21" s="51">
        <v>41081.864583333336</v>
      </c>
      <c r="DZ21" s="51" t="str">
        <f t="shared" ca="1" si="0"/>
        <v>frei</v>
      </c>
      <c r="EA21" s="51" t="s">
        <v>162</v>
      </c>
      <c r="EB21" s="51" t="s">
        <v>163</v>
      </c>
      <c r="EC21" t="s">
        <v>40</v>
      </c>
      <c r="ED21" s="50">
        <v>45464.875</v>
      </c>
      <c r="EE21" t="s">
        <v>444</v>
      </c>
      <c r="EF21" t="s">
        <v>464</v>
      </c>
      <c r="EG21">
        <v>41</v>
      </c>
      <c r="EH21" t="s">
        <v>354</v>
      </c>
      <c r="EI21" t="s">
        <v>355</v>
      </c>
      <c r="EJ21">
        <v>21</v>
      </c>
      <c r="EM21" t="s">
        <v>249</v>
      </c>
      <c r="EN21" t="s">
        <v>250</v>
      </c>
    </row>
    <row r="22" spans="2:144" ht="13.5" thickBot="1" x14ac:dyDescent="0.25">
      <c r="B22" s="150" t="s">
        <v>82</v>
      </c>
      <c r="C22" s="151" t="s">
        <v>83</v>
      </c>
      <c r="D22" s="152"/>
      <c r="E22" s="152"/>
      <c r="F22" s="152" t="s">
        <v>31</v>
      </c>
      <c r="G22" s="152" t="s">
        <v>32</v>
      </c>
      <c r="H22" s="152" t="s">
        <v>81</v>
      </c>
      <c r="I22" s="153"/>
      <c r="J22" s="153"/>
      <c r="K22" s="152"/>
      <c r="L22" s="152" t="s">
        <v>22</v>
      </c>
      <c r="M22" s="152"/>
      <c r="N22" s="154"/>
      <c r="O22" s="152" t="s">
        <v>80</v>
      </c>
      <c r="P22" s="152"/>
      <c r="Q22" s="152" t="s">
        <v>21</v>
      </c>
      <c r="R22" s="155"/>
      <c r="T22" s="197"/>
      <c r="V22" s="150" t="s">
        <v>82</v>
      </c>
      <c r="W22" s="151" t="s">
        <v>83</v>
      </c>
      <c r="X22" s="152"/>
      <c r="Y22" s="152"/>
      <c r="Z22" s="152" t="s">
        <v>31</v>
      </c>
      <c r="AA22" s="152" t="s">
        <v>32</v>
      </c>
      <c r="AB22" s="152" t="s">
        <v>81</v>
      </c>
      <c r="AC22" s="153"/>
      <c r="AD22" s="153"/>
      <c r="AE22" s="152"/>
      <c r="AF22" s="152" t="s">
        <v>22</v>
      </c>
      <c r="AG22" s="152"/>
      <c r="AH22" s="154"/>
      <c r="AI22" s="152" t="s">
        <v>80</v>
      </c>
      <c r="AJ22" s="152"/>
      <c r="AK22" s="152" t="s">
        <v>21</v>
      </c>
      <c r="AL22" s="155"/>
      <c r="AN22" s="197"/>
      <c r="AP22" s="150" t="s">
        <v>82</v>
      </c>
      <c r="AQ22" s="151" t="s">
        <v>83</v>
      </c>
      <c r="AR22" s="152"/>
      <c r="AS22" s="152"/>
      <c r="AT22" s="152" t="s">
        <v>31</v>
      </c>
      <c r="AU22" s="152" t="s">
        <v>32</v>
      </c>
      <c r="AV22" s="152" t="s">
        <v>81</v>
      </c>
      <c r="AW22" s="153"/>
      <c r="AX22" s="153"/>
      <c r="AY22" s="152"/>
      <c r="AZ22" s="152" t="s">
        <v>22</v>
      </c>
      <c r="BA22" s="152"/>
      <c r="BB22" s="154"/>
      <c r="BC22" s="152" t="s">
        <v>80</v>
      </c>
      <c r="BD22" s="152"/>
      <c r="BE22" s="152" t="s">
        <v>21</v>
      </c>
      <c r="BF22" s="155"/>
      <c r="BH22" s="197"/>
      <c r="BJ22" s="67"/>
      <c r="BK22" s="68"/>
      <c r="BL22" s="69"/>
      <c r="BM22" s="69"/>
      <c r="BN22" s="69"/>
      <c r="BO22" s="69"/>
      <c r="BP22" s="69"/>
      <c r="BQ22" s="70"/>
      <c r="BR22" s="70"/>
      <c r="BS22" s="69"/>
      <c r="BT22" s="69"/>
      <c r="BU22" s="69"/>
      <c r="BV22" s="181"/>
      <c r="BW22" s="69"/>
      <c r="BX22" s="69"/>
      <c r="BY22" s="69"/>
      <c r="BZ22" s="182"/>
      <c r="CA22" s="61"/>
      <c r="CB22" s="63"/>
      <c r="CD22" s="2">
        <f>IF(OR(AF13="",AH13=""),0,SUM(CF22:CH22))</f>
        <v>0</v>
      </c>
      <c r="CE22" s="11"/>
      <c r="CF22" t="str">
        <f>IF(AND(AF13&amp;AH13=AJ13&amp;AL13,AJ13&amp;AL13&lt;&gt;"",AF13&lt;&gt;"",AH13&lt;&gt;"",AJ13&lt;&gt;"",AL13&lt;&gt;""),Spielregeln!$D$9,"")</f>
        <v/>
      </c>
      <c r="CG22" t="str">
        <f>IF(AND(CF22="",AF13-AH13=AJ13-AL13,AJ13&amp;AL13&lt;&gt;"",AF13&lt;&gt;"",AH13&lt;&gt;"",AJ13&lt;&gt;"",AL13&lt;&gt;""),IF(OR(AND(AF13=AH13,Spielregeln!$E$13="Tordifferenz"),AF13&lt;&gt;AH13),Spielregeln!$D$10,""),"")</f>
        <v/>
      </c>
      <c r="CH22" t="str">
        <f>IF(OR(AF13="",AH13="",AJ13="",AL13=""),"",IF(AND(AF13-AH13&gt;0,CF22="",CG22="",AJ13-AL13&gt;0),Spielregeln!$D$11,IF(AND(AF13-AH13=0,CF22="",CG22="",AJ13-AL13=0,AJ13&amp;AL13&lt;&gt;""),Spielregeln!$D$11,IF(AND(AF13-AH13&lt;0,CF22="",CG22="",AJ13-AL13&lt;0),Spielregeln!$D$11,""))))</f>
        <v/>
      </c>
      <c r="CI22" t="str">
        <f>IF(AND(AF13&lt;&gt;"",AH13&lt;&gt;""),W13&amp;"x","")</f>
        <v/>
      </c>
      <c r="CJ22" t="str">
        <f>IF(AND(AF13&lt;&gt;"",AH13&lt;&gt;""),Y13&amp;"x","")</f>
        <v/>
      </c>
      <c r="CK22" t="str">
        <f>W13</f>
        <v>Kroatien</v>
      </c>
      <c r="CL22" t="str">
        <f>IF(AND(AF13&gt;AH13,AF13&lt;&gt;"",AH13&lt;&gt;""),3,IF(AND(AF13=AH13,AF13&lt;&gt;"",AH13&lt;&gt;""),1,IF(OR(AF13="",AH13=""),"",0)))</f>
        <v/>
      </c>
      <c r="CM22" t="str">
        <f>Y13</f>
        <v>Albanien</v>
      </c>
      <c r="CN22" t="str">
        <f>IF(AND(AF13&lt;AH13,AF13&lt;&gt;"",AH13&lt;&gt;""),3,IF(AND(AF13=AH13,AF13&lt;&gt;"",AH13&lt;&gt;""),1,IF(OR(AF13="",AH13=""),"",0)))</f>
        <v/>
      </c>
      <c r="CO22" t="str">
        <f t="shared" si="30"/>
        <v>Kroatien</v>
      </c>
      <c r="CP22" t="str">
        <f t="shared" si="31"/>
        <v>Albanien</v>
      </c>
      <c r="CQ22" s="12" t="str">
        <f>IF(AF13&gt;AH13,1,IF(AND(AF13=AH13,AF13&lt;&gt;"",AH13&lt;&gt;""),0,IF(AF13&lt;AH13,2,"")))</f>
        <v/>
      </c>
      <c r="CR22" s="37" t="str">
        <f t="shared" si="18"/>
        <v/>
      </c>
      <c r="DJ22" s="8" t="str">
        <f t="shared" si="19"/>
        <v>Kroatien</v>
      </c>
      <c r="DK22" t="str">
        <f t="shared" si="20"/>
        <v>dV0</v>
      </c>
      <c r="DL22" t="str">
        <f t="shared" si="21"/>
        <v>Italien</v>
      </c>
      <c r="DM22" t="str">
        <f t="shared" si="22"/>
        <v>dV0</v>
      </c>
      <c r="DN22" s="12" t="str">
        <f t="shared" si="23"/>
        <v>0</v>
      </c>
      <c r="DO22" t="str">
        <f t="shared" si="24"/>
        <v>KroatiendV</v>
      </c>
      <c r="DP22" t="str">
        <f t="shared" si="25"/>
        <v/>
      </c>
      <c r="DQ22" t="str">
        <f t="shared" si="26"/>
        <v>ItaliendV</v>
      </c>
      <c r="DR22" t="str">
        <f t="shared" si="27"/>
        <v/>
      </c>
      <c r="DS22">
        <f t="shared" si="28"/>
        <v>0</v>
      </c>
      <c r="DT22">
        <f t="shared" si="29"/>
        <v>0</v>
      </c>
      <c r="DX22" s="51">
        <v>41082.864583333336</v>
      </c>
      <c r="DZ22" s="51" t="str">
        <f t="shared" ca="1" si="0"/>
        <v>frei</v>
      </c>
      <c r="EA22" s="51" t="s">
        <v>164</v>
      </c>
      <c r="EB22" s="51" t="s">
        <v>165</v>
      </c>
      <c r="EC22" t="s">
        <v>98</v>
      </c>
      <c r="ED22" s="50">
        <v>45465.625</v>
      </c>
      <c r="EE22" t="s">
        <v>498</v>
      </c>
      <c r="EF22" t="s">
        <v>505</v>
      </c>
      <c r="EG22">
        <v>43</v>
      </c>
      <c r="EH22" t="s">
        <v>356</v>
      </c>
      <c r="EI22" t="s">
        <v>357</v>
      </c>
      <c r="EJ22">
        <v>22</v>
      </c>
      <c r="EM22" t="s">
        <v>251</v>
      </c>
      <c r="EN22" t="s">
        <v>252</v>
      </c>
    </row>
    <row r="23" spans="2:144" x14ac:dyDescent="0.2">
      <c r="B23" s="89" t="s">
        <v>13</v>
      </c>
      <c r="C23" s="90" t="str">
        <f>IF(OR($L$9="",$N$9=""),"",CS7)</f>
        <v/>
      </c>
      <c r="D23" s="90"/>
      <c r="E23" s="90"/>
      <c r="F23" s="91" t="str">
        <f t="shared" ref="F23:H26" si="32">IF(OR($L$9="",$N$9=""),"",CU7)</f>
        <v/>
      </c>
      <c r="G23" s="91" t="str">
        <f t="shared" si="32"/>
        <v/>
      </c>
      <c r="H23" s="91" t="str">
        <f t="shared" si="32"/>
        <v/>
      </c>
      <c r="I23" s="90"/>
      <c r="J23" s="90"/>
      <c r="K23" s="90" t="str">
        <f>IF(OR($L$9="",$N$9=""),"",CX7)</f>
        <v/>
      </c>
      <c r="L23" s="91" t="s">
        <v>20</v>
      </c>
      <c r="M23" s="92" t="str">
        <f>IF(OR($L$9="",$N$9=""),"",CY7)</f>
        <v/>
      </c>
      <c r="N23" s="92"/>
      <c r="O23" s="91" t="str">
        <f>IF(OR($L$9="",$N$9=""),"",CZ7)</f>
        <v/>
      </c>
      <c r="P23" s="90"/>
      <c r="Q23" s="91" t="str">
        <f>IF(OR($L$9="",$N$9=""),"",DA7)</f>
        <v/>
      </c>
      <c r="R23" s="93"/>
      <c r="T23" s="197"/>
      <c r="V23" s="89" t="s">
        <v>13</v>
      </c>
      <c r="W23" s="90" t="str">
        <f>IF(OR($AF$9="",$AH$9=""),"",CS18)</f>
        <v/>
      </c>
      <c r="X23" s="90"/>
      <c r="Y23" s="90"/>
      <c r="Z23" s="91" t="str">
        <f t="shared" ref="Z23:AB26" si="33">IF(OR($AF$9="",$AH$9=""),"",CU18)</f>
        <v/>
      </c>
      <c r="AA23" s="91" t="str">
        <f t="shared" si="33"/>
        <v/>
      </c>
      <c r="AB23" s="91" t="str">
        <f t="shared" si="33"/>
        <v/>
      </c>
      <c r="AC23" s="90"/>
      <c r="AD23" s="90"/>
      <c r="AE23" s="90" t="str">
        <f>IF(OR($AF$9="",$AH$9=""),"",CX18)</f>
        <v/>
      </c>
      <c r="AF23" s="91" t="s">
        <v>20</v>
      </c>
      <c r="AG23" s="92" t="str">
        <f>IF(OR($AF$9="",$AH$9=""),"",CY18)</f>
        <v/>
      </c>
      <c r="AH23" s="92"/>
      <c r="AI23" s="91" t="str">
        <f>IF(OR($AF$9="",$AH$9=""),"",CZ18)</f>
        <v/>
      </c>
      <c r="AJ23" s="90"/>
      <c r="AK23" s="91" t="str">
        <f>IF(OR($AF$9="",$AH$9=""),"",DA18)</f>
        <v/>
      </c>
      <c r="AL23" s="93"/>
      <c r="AN23" s="197"/>
      <c r="AP23" s="89" t="s">
        <v>13</v>
      </c>
      <c r="AQ23" s="90" t="str">
        <f>IF(OR($AZ$9="",$BB$9=""),"",CS29)</f>
        <v/>
      </c>
      <c r="AR23" s="90"/>
      <c r="AS23" s="90"/>
      <c r="AT23" s="91" t="str">
        <f t="shared" ref="AT23:AV26" si="34">IF(OR($AZ$9="",$BB$9=""),"",CU29)</f>
        <v/>
      </c>
      <c r="AU23" s="91" t="str">
        <f t="shared" si="34"/>
        <v/>
      </c>
      <c r="AV23" s="91" t="str">
        <f t="shared" si="34"/>
        <v/>
      </c>
      <c r="AW23" s="90"/>
      <c r="AX23" s="90"/>
      <c r="AY23" s="90" t="str">
        <f>IF(OR($AZ$9="",$BB$9=""),"",CX29)</f>
        <v/>
      </c>
      <c r="AZ23" s="91" t="s">
        <v>20</v>
      </c>
      <c r="BA23" s="92" t="str">
        <f>IF(OR($AZ$9="",$BB$9=""),"",CY29)</f>
        <v/>
      </c>
      <c r="BB23" s="92"/>
      <c r="BC23" s="91" t="str">
        <f>IF(OR($AZ$9="",$BB$9=""),"",CZ29)</f>
        <v/>
      </c>
      <c r="BD23" s="90"/>
      <c r="BE23" s="91" t="str">
        <f>IF(OR($AZ$9="",$BB$9=""),"",DA29)</f>
        <v/>
      </c>
      <c r="BF23" s="93"/>
      <c r="BH23" s="197"/>
      <c r="BJ23" s="71"/>
      <c r="BK23" s="72"/>
      <c r="BL23" s="72"/>
      <c r="BM23" s="72"/>
      <c r="BN23" s="73"/>
      <c r="BO23" s="73"/>
      <c r="BP23" s="73"/>
      <c r="BQ23" s="72"/>
      <c r="BR23" s="72"/>
      <c r="BS23" s="72"/>
      <c r="BT23" s="73"/>
      <c r="BU23" s="183"/>
      <c r="BV23" s="183"/>
      <c r="BW23" s="73"/>
      <c r="BX23" s="72"/>
      <c r="BY23" s="73"/>
      <c r="BZ23" s="184"/>
      <c r="CA23" s="65"/>
      <c r="CB23" s="63"/>
      <c r="CD23" s="2">
        <f>IF(OR(AF15="",AH15=""),0,SUM(CF23:CH23))</f>
        <v>0</v>
      </c>
      <c r="CE23" s="11"/>
      <c r="CF23" t="str">
        <f>IF(AND(AF15&amp;AH15=AJ15&amp;AL15,AJ15&amp;AL15&lt;&gt;"",AF15&lt;&gt;"",AH15&lt;&gt;"",AJ15&lt;&gt;"",AL15&lt;&gt;""),Spielregeln!$D$9,"")</f>
        <v/>
      </c>
      <c r="CG23" t="str">
        <f>IF(AND(CF23="",AF15-AH15=AJ15-AL15,AJ15&amp;AL15&lt;&gt;"",AF15&lt;&gt;"",AH15&lt;&gt;"",AJ15&lt;&gt;"",AL15&lt;&gt;""),IF(OR(AND(AF15=AH15,Spielregeln!$E$13="Tordifferenz"),AF15&lt;&gt;AH15),Spielregeln!$D$10,""),"")</f>
        <v/>
      </c>
      <c r="CH23" t="str">
        <f>IF(OR(AF15="",AH15="",AJ15="",AL15=""),"",IF(AND(AF15-AH15&gt;0,CF23="",CG23="",AJ15-AL15&gt;0),Spielregeln!$D$11,IF(AND(AF15-AH15=0,CF23="",CG23="",AJ15-AL15=0,AJ15&amp;AL15&lt;&gt;""),Spielregeln!$D$11,IF(AND(AF15-AH15&lt;0,CF23="",CG23="",AJ15-AL15&lt;0),Spielregeln!$D$11,""))))</f>
        <v/>
      </c>
      <c r="CI23" t="str">
        <f>IF(AND(AF15&lt;&gt;"",AH15&lt;&gt;""),W15&amp;"x","")</f>
        <v/>
      </c>
      <c r="CJ23" t="str">
        <f>IF(AND(AF15&lt;&gt;"",AH15&lt;&gt;""),Y15&amp;"x","")</f>
        <v/>
      </c>
      <c r="CK23" t="str">
        <f>W15</f>
        <v>Spanien</v>
      </c>
      <c r="CL23" t="str">
        <f>IF(AND(AF15&gt;AH15,AF15&lt;&gt;"",AH15&lt;&gt;""),3,IF(AND(AF15=AH15,AF15&lt;&gt;"",AH15&lt;&gt;""),1,IF(OR(AF15="",AH15=""),"",0)))</f>
        <v/>
      </c>
      <c r="CM23" t="str">
        <f>Y15</f>
        <v>Italien</v>
      </c>
      <c r="CN23" t="str">
        <f>IF(AND(AF15&lt;AH15,AF15&lt;&gt;"",AH15&lt;&gt;""),3,IF(AND(AF15=AH15,AF15&lt;&gt;"",AH15&lt;&gt;""),1,IF(OR(AF15="",AH15=""),"",0)))</f>
        <v/>
      </c>
      <c r="CO23" t="str">
        <f t="shared" si="30"/>
        <v>Spanien</v>
      </c>
      <c r="CP23" t="str">
        <f t="shared" si="31"/>
        <v>Italien</v>
      </c>
      <c r="CQ23" s="12" t="str">
        <f>IF(AF15&gt;AH15,1,IF(AND(AF15=AH15,AF15&lt;&gt;"",AH15&lt;&gt;""),0,IF(AF15&lt;AH15,2,"")))</f>
        <v/>
      </c>
      <c r="CR23" s="37" t="str">
        <f t="shared" si="18"/>
        <v/>
      </c>
      <c r="DJ23" s="57" t="str">
        <f t="shared" si="19"/>
        <v>Albanien</v>
      </c>
      <c r="DK23" s="14" t="str">
        <f t="shared" si="20"/>
        <v>dV0</v>
      </c>
      <c r="DL23" s="14" t="str">
        <f t="shared" si="21"/>
        <v>Spanien</v>
      </c>
      <c r="DM23" s="14" t="str">
        <f t="shared" si="22"/>
        <v>dV0</v>
      </c>
      <c r="DN23" s="15" t="str">
        <f t="shared" si="23"/>
        <v>0</v>
      </c>
      <c r="DO23" t="str">
        <f t="shared" si="24"/>
        <v>AlbaniendV</v>
      </c>
      <c r="DP23" t="str">
        <f t="shared" si="25"/>
        <v/>
      </c>
      <c r="DQ23" t="str">
        <f t="shared" si="26"/>
        <v>SpaniendV</v>
      </c>
      <c r="DR23" t="str">
        <f t="shared" si="27"/>
        <v/>
      </c>
      <c r="DS23">
        <f t="shared" si="28"/>
        <v>0</v>
      </c>
      <c r="DT23">
        <f t="shared" si="29"/>
        <v>0</v>
      </c>
      <c r="DX23" s="51">
        <v>41083.864583333336</v>
      </c>
      <c r="DZ23" s="51" t="str">
        <f t="shared" ca="1" si="0"/>
        <v>frei</v>
      </c>
      <c r="EA23" s="51" t="s">
        <v>166</v>
      </c>
      <c r="EB23" s="51" t="s">
        <v>167</v>
      </c>
      <c r="EC23" t="s">
        <v>98</v>
      </c>
      <c r="ED23" s="50">
        <v>45465.75</v>
      </c>
      <c r="EE23" t="s">
        <v>499</v>
      </c>
      <c r="EF23" t="s">
        <v>506</v>
      </c>
      <c r="EG23">
        <v>45</v>
      </c>
      <c r="EH23" t="s">
        <v>358</v>
      </c>
      <c r="EI23" t="s">
        <v>359</v>
      </c>
      <c r="EJ23">
        <v>23</v>
      </c>
      <c r="EM23" t="s">
        <v>253</v>
      </c>
      <c r="EN23" t="s">
        <v>254</v>
      </c>
    </row>
    <row r="24" spans="2:144" x14ac:dyDescent="0.2">
      <c r="B24" s="158" t="s">
        <v>14</v>
      </c>
      <c r="C24" s="159" t="str">
        <f>IF(OR($L$9="",$N$9=""),"",CS8)</f>
        <v/>
      </c>
      <c r="D24" s="159"/>
      <c r="E24" s="159"/>
      <c r="F24" s="160" t="str">
        <f t="shared" si="32"/>
        <v/>
      </c>
      <c r="G24" s="160" t="str">
        <f t="shared" si="32"/>
        <v/>
      </c>
      <c r="H24" s="160" t="str">
        <f t="shared" si="32"/>
        <v/>
      </c>
      <c r="I24" s="159"/>
      <c r="J24" s="159"/>
      <c r="K24" s="159" t="str">
        <f>IF(OR($L$9="",$N$9=""),"",CX8)</f>
        <v/>
      </c>
      <c r="L24" s="160" t="s">
        <v>20</v>
      </c>
      <c r="M24" s="161" t="str">
        <f>IF(OR($L$9="",$N$9=""),"",CY8)</f>
        <v/>
      </c>
      <c r="N24" s="161"/>
      <c r="O24" s="160" t="str">
        <f>IF(OR($L$9="",$N$9=""),"",CZ8)</f>
        <v/>
      </c>
      <c r="P24" s="159"/>
      <c r="Q24" s="160" t="str">
        <f>IF(OR($L$9="",$N$9=""),"",DA8)</f>
        <v/>
      </c>
      <c r="R24" s="162"/>
      <c r="T24" s="197"/>
      <c r="V24" s="158" t="s">
        <v>14</v>
      </c>
      <c r="W24" s="159" t="str">
        <f>IF(OR($AF$9="",$AH$9=""),"",CS19)</f>
        <v/>
      </c>
      <c r="X24" s="159"/>
      <c r="Y24" s="159"/>
      <c r="Z24" s="160" t="str">
        <f t="shared" si="33"/>
        <v/>
      </c>
      <c r="AA24" s="160" t="str">
        <f t="shared" si="33"/>
        <v/>
      </c>
      <c r="AB24" s="160" t="str">
        <f t="shared" si="33"/>
        <v/>
      </c>
      <c r="AC24" s="159"/>
      <c r="AD24" s="159"/>
      <c r="AE24" s="159" t="str">
        <f>IF(OR($AF$9="",$AH$9=""),"",CX19)</f>
        <v/>
      </c>
      <c r="AF24" s="160" t="s">
        <v>20</v>
      </c>
      <c r="AG24" s="161" t="str">
        <f>IF(OR($AF$9="",$AH$9=""),"",CY19)</f>
        <v/>
      </c>
      <c r="AH24" s="161"/>
      <c r="AI24" s="160" t="str">
        <f>IF(OR($AF$9="",$AH$9=""),"",CZ19)</f>
        <v/>
      </c>
      <c r="AJ24" s="159"/>
      <c r="AK24" s="160" t="str">
        <f>IF(OR($AF$9="",$AH$9=""),"",DA19)</f>
        <v/>
      </c>
      <c r="AL24" s="162"/>
      <c r="AN24" s="197"/>
      <c r="AP24" s="158" t="s">
        <v>14</v>
      </c>
      <c r="AQ24" s="159" t="str">
        <f>IF(OR($AZ$9="",$BB$9=""),"",CS30)</f>
        <v/>
      </c>
      <c r="AR24" s="159"/>
      <c r="AS24" s="159"/>
      <c r="AT24" s="160" t="str">
        <f t="shared" si="34"/>
        <v/>
      </c>
      <c r="AU24" s="160" t="str">
        <f t="shared" si="34"/>
        <v/>
      </c>
      <c r="AV24" s="160" t="str">
        <f t="shared" si="34"/>
        <v/>
      </c>
      <c r="AW24" s="159"/>
      <c r="AX24" s="159"/>
      <c r="AY24" s="159" t="str">
        <f>IF(OR($AZ$9="",$BB$9=""),"",CX30)</f>
        <v/>
      </c>
      <c r="AZ24" s="160" t="s">
        <v>20</v>
      </c>
      <c r="BA24" s="161" t="str">
        <f>IF(OR($AZ$9="",$BB$9=""),"",CY30)</f>
        <v/>
      </c>
      <c r="BB24" s="161"/>
      <c r="BC24" s="160" t="str">
        <f>IF(OR($AZ$9="",$BB$9=""),"",CZ30)</f>
        <v/>
      </c>
      <c r="BD24" s="159"/>
      <c r="BE24" s="160" t="str">
        <f>IF(OR($AZ$9="",$BB$9=""),"",DA30)</f>
        <v/>
      </c>
      <c r="BF24" s="162"/>
      <c r="BH24" s="197"/>
      <c r="BJ24" s="74"/>
      <c r="BK24" s="75"/>
      <c r="BL24" s="75"/>
      <c r="BM24" s="75"/>
      <c r="BN24" s="76"/>
      <c r="BO24" s="76"/>
      <c r="BP24" s="76"/>
      <c r="BQ24" s="75"/>
      <c r="BR24" s="75"/>
      <c r="BS24" s="75"/>
      <c r="BT24" s="76"/>
      <c r="BU24" s="185"/>
      <c r="BV24" s="185"/>
      <c r="BW24" s="76"/>
      <c r="BX24" s="75"/>
      <c r="BY24" s="76"/>
      <c r="BZ24" s="186"/>
      <c r="CA24" s="65"/>
      <c r="CB24" s="63"/>
      <c r="CD24" s="2">
        <f>IF(OR(AF17="",AH17=""),0,SUM(CF24:CH24))</f>
        <v>0</v>
      </c>
      <c r="CE24" s="11"/>
      <c r="CF24" t="str">
        <f>IF(AND(AF17&amp;AH17=AJ17&amp;AL17,AJ17&amp;AL17&lt;&gt;"",AF17&lt;&gt;"",AH17&lt;&gt;"",AJ17&lt;&gt;"",AL17&lt;&gt;""),Spielregeln!$D$9,"")</f>
        <v/>
      </c>
      <c r="CG24" t="str">
        <f>IF(AND(CF24="",AF17-AH17=AJ17-AL17,AJ17&amp;AL17&lt;&gt;"",AF17&lt;&gt;"",AH17&lt;&gt;"",AJ17&lt;&gt;"",AL17&lt;&gt;""),IF(OR(AND(AF17=AH17,Spielregeln!$E$13="Tordifferenz"),AF17&lt;&gt;AH17),Spielregeln!$D$10,""),"")</f>
        <v/>
      </c>
      <c r="CH24" t="str">
        <f>IF(OR(AF17="",AH17="",AJ17="",AL17=""),"",IF(AND(AF17-AH17&gt;0,CF24="",CG24="",AJ17-AL17&gt;0),Spielregeln!$D$11,IF(AND(AF17-AH17=0,CF24="",CG24="",AJ17-AL17=0,AJ17&amp;AL17&lt;&gt;""),Spielregeln!$D$11,IF(AND(AF17-AH17&lt;0,CF24="",CG24="",AJ17-AL17&lt;0),Spielregeln!$D$11,""))))</f>
        <v/>
      </c>
      <c r="CI24" t="str">
        <f>IF(AND(AF17&lt;&gt;"",AH17&lt;&gt;""),W17&amp;"x","")</f>
        <v/>
      </c>
      <c r="CJ24" t="str">
        <f>IF(AND(AF17&lt;&gt;"",AH17&lt;&gt;""),Y17&amp;"x","")</f>
        <v/>
      </c>
      <c r="CK24" t="str">
        <f>W17</f>
        <v>Kroatien</v>
      </c>
      <c r="CL24" t="str">
        <f>IF(AND(AF17&gt;AH17,AF17&lt;&gt;"",AH17&lt;&gt;""),3,IF(AND(AF17=AH17,AF17&lt;&gt;"",AH17&lt;&gt;""),1,IF(OR(AF17="",AH17=""),"",0)))</f>
        <v/>
      </c>
      <c r="CM24" t="str">
        <f>Y17</f>
        <v>Italien</v>
      </c>
      <c r="CN24" t="str">
        <f>IF(AND(AF17&lt;AH17,AF17&lt;&gt;"",AH17&lt;&gt;""),3,IF(AND(AF17=AH17,AF17&lt;&gt;"",AH17&lt;&gt;""),1,IF(OR(AF17="",AH17=""),"",0)))</f>
        <v/>
      </c>
      <c r="CO24" t="str">
        <f t="shared" si="30"/>
        <v>Kroatien</v>
      </c>
      <c r="CP24" t="str">
        <f t="shared" si="31"/>
        <v>Italien</v>
      </c>
      <c r="CQ24" s="12" t="str">
        <f>IF(AF17&gt;AH17,1,IF(AND(AF17=AH17,AF17&lt;&gt;"",AH17&lt;&gt;""),0,IF(AF17&lt;AH17,2,"")))</f>
        <v/>
      </c>
      <c r="CR24" s="37" t="str">
        <f t="shared" si="18"/>
        <v/>
      </c>
      <c r="DX24" s="51">
        <v>41084.864583333336</v>
      </c>
      <c r="DZ24" s="51" t="str">
        <f t="shared" ca="1" si="0"/>
        <v>frei</v>
      </c>
      <c r="EA24" s="51" t="s">
        <v>168</v>
      </c>
      <c r="EB24" s="51" t="s">
        <v>169</v>
      </c>
      <c r="EC24" t="s">
        <v>198</v>
      </c>
      <c r="ED24" s="50">
        <v>45465.875</v>
      </c>
      <c r="EE24" t="s">
        <v>485</v>
      </c>
      <c r="EF24" t="s">
        <v>492</v>
      </c>
      <c r="EG24">
        <v>47</v>
      </c>
      <c r="EH24" t="s">
        <v>360</v>
      </c>
      <c r="EI24" t="s">
        <v>361</v>
      </c>
      <c r="EJ24">
        <v>24</v>
      </c>
      <c r="EM24" t="s">
        <v>255</v>
      </c>
      <c r="EN24" t="s">
        <v>256</v>
      </c>
    </row>
    <row r="25" spans="2:144" x14ac:dyDescent="0.2">
      <c r="B25" s="99" t="s">
        <v>15</v>
      </c>
      <c r="C25" s="100" t="str">
        <f>IF(OR($L$9="",$N$9=""),"",CS9)</f>
        <v/>
      </c>
      <c r="D25" s="100"/>
      <c r="E25" s="100"/>
      <c r="F25" s="101" t="str">
        <f t="shared" si="32"/>
        <v/>
      </c>
      <c r="G25" s="101" t="str">
        <f t="shared" si="32"/>
        <v/>
      </c>
      <c r="H25" s="101" t="str">
        <f t="shared" si="32"/>
        <v/>
      </c>
      <c r="I25" s="100"/>
      <c r="J25" s="100"/>
      <c r="K25" s="100" t="str">
        <f>IF(OR($L$9="",$N$9=""),"",CX9)</f>
        <v/>
      </c>
      <c r="L25" s="101" t="s">
        <v>20</v>
      </c>
      <c r="M25" s="102" t="str">
        <f>IF(OR($L$9="",$N$9=""),"",CY9)</f>
        <v/>
      </c>
      <c r="N25" s="102"/>
      <c r="O25" s="101" t="str">
        <f>IF(OR($L$9="",$N$9=""),"",CZ9)</f>
        <v/>
      </c>
      <c r="P25" s="100"/>
      <c r="Q25" s="101" t="str">
        <f>IF(OR($L$9="",$N$9=""),"",DA9)</f>
        <v/>
      </c>
      <c r="R25" s="103"/>
      <c r="T25" s="197"/>
      <c r="V25" s="99" t="s">
        <v>15</v>
      </c>
      <c r="W25" s="100" t="str">
        <f>IF(OR($AF$9="",$AH$9=""),"",CS20)</f>
        <v/>
      </c>
      <c r="X25" s="100"/>
      <c r="Y25" s="100"/>
      <c r="Z25" s="101" t="str">
        <f t="shared" si="33"/>
        <v/>
      </c>
      <c r="AA25" s="101" t="str">
        <f t="shared" si="33"/>
        <v/>
      </c>
      <c r="AB25" s="101" t="str">
        <f t="shared" si="33"/>
        <v/>
      </c>
      <c r="AC25" s="100"/>
      <c r="AD25" s="100"/>
      <c r="AE25" s="100" t="str">
        <f>IF(OR($AF$9="",$AH$9=""),"",CX20)</f>
        <v/>
      </c>
      <c r="AF25" s="101" t="s">
        <v>20</v>
      </c>
      <c r="AG25" s="102" t="str">
        <f>IF(OR($AF$9="",$AH$9=""),"",CY20)</f>
        <v/>
      </c>
      <c r="AH25" s="102"/>
      <c r="AI25" s="101" t="str">
        <f>IF(OR($AF$9="",$AH$9=""),"",CZ20)</f>
        <v/>
      </c>
      <c r="AJ25" s="100"/>
      <c r="AK25" s="101" t="str">
        <f>IF(OR($AF$9="",$AH$9=""),"",DA20)</f>
        <v/>
      </c>
      <c r="AL25" s="103"/>
      <c r="AN25" s="197"/>
      <c r="AP25" s="99" t="s">
        <v>15</v>
      </c>
      <c r="AQ25" s="100" t="str">
        <f>IF(OR($AZ$9="",$BB$9=""),"",CS31)</f>
        <v/>
      </c>
      <c r="AR25" s="100"/>
      <c r="AS25" s="100"/>
      <c r="AT25" s="101" t="str">
        <f t="shared" si="34"/>
        <v/>
      </c>
      <c r="AU25" s="101" t="str">
        <f t="shared" si="34"/>
        <v/>
      </c>
      <c r="AV25" s="101" t="str">
        <f t="shared" si="34"/>
        <v/>
      </c>
      <c r="AW25" s="100"/>
      <c r="AX25" s="100"/>
      <c r="AY25" s="100" t="str">
        <f>IF(OR($AZ$9="",$BB$9=""),"",CX31)</f>
        <v/>
      </c>
      <c r="AZ25" s="101" t="s">
        <v>20</v>
      </c>
      <c r="BA25" s="102" t="str">
        <f>IF(OR($AZ$9="",$BB$9=""),"",CY31)</f>
        <v/>
      </c>
      <c r="BB25" s="102"/>
      <c r="BC25" s="101" t="str">
        <f>IF(OR($AZ$9="",$BB$9=""),"",CZ31)</f>
        <v/>
      </c>
      <c r="BD25" s="100"/>
      <c r="BE25" s="101" t="str">
        <f>IF(OR($AZ$9="",$BB$9=""),"",DA31)</f>
        <v/>
      </c>
      <c r="BF25" s="103"/>
      <c r="BH25" s="197"/>
      <c r="BJ25" s="77"/>
      <c r="BK25" s="78"/>
      <c r="BL25" s="78"/>
      <c r="BM25" s="78"/>
      <c r="BN25" s="79"/>
      <c r="BO25" s="79"/>
      <c r="BP25" s="79"/>
      <c r="BQ25" s="78"/>
      <c r="BR25" s="78"/>
      <c r="BS25" s="78"/>
      <c r="BT25" s="79"/>
      <c r="BU25" s="187"/>
      <c r="BV25" s="187"/>
      <c r="BW25" s="79"/>
      <c r="BX25" s="78"/>
      <c r="BY25" s="79"/>
      <c r="BZ25" s="188"/>
      <c r="CA25" s="65"/>
      <c r="CB25" s="63"/>
      <c r="CD25" s="2">
        <f>IF(OR(AF19="",AH19=""),0,SUM(CF25:CH25))</f>
        <v>0</v>
      </c>
      <c r="CE25" s="13"/>
      <c r="CF25" s="14" t="str">
        <f>IF(AND(AF19&amp;AH19=AJ19&amp;AL19,AJ19&amp;AL19&lt;&gt;"",AF19&lt;&gt;"",AH19&lt;&gt;"",AJ19&lt;&gt;"",AL19&lt;&gt;""),Spielregeln!$D$9,"")</f>
        <v/>
      </c>
      <c r="CG25" s="14" t="str">
        <f>IF(AND(CF25="",AF19-AH19=AJ19-AL19,AJ19&amp;AL19&lt;&gt;"",AF19&lt;&gt;"",AH19&lt;&gt;"",AJ19&lt;&gt;"",AL19&lt;&gt;""),IF(OR(AND(AF19=AH19,Spielregeln!$E$13="Tordifferenz"),AF19&lt;&gt;AH19),Spielregeln!$D$10,""),"")</f>
        <v/>
      </c>
      <c r="CH25" s="14" t="str">
        <f>IF(OR(AF19="",AH19="",AJ19="",AL19=""),"",IF(AND(AF19-AH19&gt;0,CF25="",CG25="",AJ19-AL19&gt;0),Spielregeln!$D$11,IF(AND(AF19-AH19=0,CF25="",CG25="",AJ19-AL19=0,AJ19&amp;AL19&lt;&gt;""),Spielregeln!$D$11,IF(AND(AF19-AH19&lt;0,CF25="",CG25="",AJ19-AL19&lt;0),Spielregeln!$D$11,""))))</f>
        <v/>
      </c>
      <c r="CI25" s="14" t="str">
        <f>IF(AND(AF19&lt;&gt;"",AH19&lt;&gt;""),W19&amp;"x","")</f>
        <v/>
      </c>
      <c r="CJ25" s="14" t="str">
        <f>IF(AND(AF19&lt;&gt;"",AH19&lt;&gt;""),Y19&amp;"x","")</f>
        <v/>
      </c>
      <c r="CK25" s="14" t="str">
        <f>W19</f>
        <v>Albanien</v>
      </c>
      <c r="CL25" s="14" t="str">
        <f>IF(AND(AF19&gt;AH19,AF19&lt;&gt;"",AH19&lt;&gt;""),3,IF(AND(AF19=AH19,AF19&lt;&gt;"",AH19&lt;&gt;""),1,IF(OR(AF19="",AH19=""),"",0)))</f>
        <v/>
      </c>
      <c r="CM25" s="14" t="str">
        <f>Y19</f>
        <v>Spanien</v>
      </c>
      <c r="CN25" s="14" t="str">
        <f>IF(AND(AF19&lt;AH19,AF19&lt;&gt;"",AH19&lt;&gt;""),3,IF(AND(AF19=AH19,AF19&lt;&gt;"",AH19&lt;&gt;""),1,IF(OR(AF19="",AH19=""),"",0)))</f>
        <v/>
      </c>
      <c r="CO25" s="14" t="str">
        <f t="shared" si="30"/>
        <v>Albanien</v>
      </c>
      <c r="CP25" s="14" t="str">
        <f t="shared" si="31"/>
        <v>Spanien</v>
      </c>
      <c r="CQ25" s="15" t="str">
        <f>IF(AF19&gt;AH19,1,IF(AND(AF19=AH19,AF19&lt;&gt;"",AH19&lt;&gt;""),0,IF(AF19&lt;AH19,2,"")))</f>
        <v/>
      </c>
      <c r="CR25" s="37" t="str">
        <f t="shared" si="18"/>
        <v/>
      </c>
      <c r="DX25" s="51">
        <v>41087.864583333336</v>
      </c>
      <c r="DZ25" s="51" t="str">
        <f t="shared" ca="1" si="0"/>
        <v>frei</v>
      </c>
      <c r="EA25" s="51" t="s">
        <v>170</v>
      </c>
      <c r="EB25" s="51" t="s">
        <v>171</v>
      </c>
      <c r="EC25" t="s">
        <v>37</v>
      </c>
      <c r="ED25" s="50">
        <v>45466.875</v>
      </c>
      <c r="EE25" t="s">
        <v>154</v>
      </c>
      <c r="EF25" t="s">
        <v>461</v>
      </c>
      <c r="EG25">
        <v>37</v>
      </c>
      <c r="EH25" t="s">
        <v>362</v>
      </c>
      <c r="EI25" t="s">
        <v>363</v>
      </c>
      <c r="EJ25">
        <v>25</v>
      </c>
      <c r="EM25" t="s">
        <v>257</v>
      </c>
      <c r="EN25" t="s">
        <v>258</v>
      </c>
    </row>
    <row r="26" spans="2:144" ht="13.5" thickBot="1" x14ac:dyDescent="0.25">
      <c r="B26" s="94" t="s">
        <v>16</v>
      </c>
      <c r="C26" s="95" t="str">
        <f>IF(OR($L$9="",$N$9=""),"",CS10)</f>
        <v/>
      </c>
      <c r="D26" s="95"/>
      <c r="E26" s="95"/>
      <c r="F26" s="96" t="str">
        <f t="shared" si="32"/>
        <v/>
      </c>
      <c r="G26" s="96" t="str">
        <f t="shared" si="32"/>
        <v/>
      </c>
      <c r="H26" s="96" t="str">
        <f t="shared" si="32"/>
        <v/>
      </c>
      <c r="I26" s="95"/>
      <c r="J26" s="95"/>
      <c r="K26" s="95" t="str">
        <f>IF(OR($L$9="",$N$9=""),"",CX10)</f>
        <v/>
      </c>
      <c r="L26" s="96" t="s">
        <v>20</v>
      </c>
      <c r="M26" s="97" t="str">
        <f>IF(OR($L$9="",$N$9=""),"",CY10)</f>
        <v/>
      </c>
      <c r="N26" s="97"/>
      <c r="O26" s="96" t="str">
        <f>IF(OR($L$9="",$N$9=""),"",CZ10)</f>
        <v/>
      </c>
      <c r="P26" s="95"/>
      <c r="Q26" s="96" t="str">
        <f>IF(OR($L$9="",$N$9=""),"",DA10)</f>
        <v/>
      </c>
      <c r="R26" s="98"/>
      <c r="T26" s="197"/>
      <c r="V26" s="94" t="s">
        <v>16</v>
      </c>
      <c r="W26" s="95" t="str">
        <f>IF(OR($AF$9="",$AH$9=""),"",CS21)</f>
        <v/>
      </c>
      <c r="X26" s="95"/>
      <c r="Y26" s="95"/>
      <c r="Z26" s="96" t="str">
        <f t="shared" si="33"/>
        <v/>
      </c>
      <c r="AA26" s="96" t="str">
        <f t="shared" si="33"/>
        <v/>
      </c>
      <c r="AB26" s="96" t="str">
        <f t="shared" si="33"/>
        <v/>
      </c>
      <c r="AC26" s="95"/>
      <c r="AD26" s="95"/>
      <c r="AE26" s="95" t="str">
        <f>IF(OR($AF$9="",$AH$9=""),"",CX21)</f>
        <v/>
      </c>
      <c r="AF26" s="96" t="s">
        <v>20</v>
      </c>
      <c r="AG26" s="97" t="str">
        <f>IF(OR($AF$9="",$AH$9=""),"",CY21)</f>
        <v/>
      </c>
      <c r="AH26" s="97"/>
      <c r="AI26" s="96" t="str">
        <f>IF(OR($AF$9="",$AH$9=""),"",CZ21)</f>
        <v/>
      </c>
      <c r="AJ26" s="95"/>
      <c r="AK26" s="96" t="str">
        <f>IF(OR($AF$9="",$AH$9=""),"",DA21)</f>
        <v/>
      </c>
      <c r="AL26" s="98"/>
      <c r="AN26" s="197"/>
      <c r="AP26" s="94" t="s">
        <v>16</v>
      </c>
      <c r="AQ26" s="95" t="str">
        <f>IF(OR($AZ$9="",$BB$9=""),"",CS32)</f>
        <v/>
      </c>
      <c r="AR26" s="95"/>
      <c r="AS26" s="95"/>
      <c r="AT26" s="96" t="str">
        <f t="shared" si="34"/>
        <v/>
      </c>
      <c r="AU26" s="96" t="str">
        <f t="shared" si="34"/>
        <v/>
      </c>
      <c r="AV26" s="96" t="str">
        <f t="shared" si="34"/>
        <v/>
      </c>
      <c r="AW26" s="95"/>
      <c r="AX26" s="95"/>
      <c r="AY26" s="95" t="str">
        <f>IF(OR($AZ$9="",$BB$9=""),"",CX32)</f>
        <v/>
      </c>
      <c r="AZ26" s="96" t="s">
        <v>20</v>
      </c>
      <c r="BA26" s="97" t="str">
        <f>IF(OR($AZ$9="",$BB$9=""),"",CY32)</f>
        <v/>
      </c>
      <c r="BB26" s="97"/>
      <c r="BC26" s="96" t="str">
        <f>IF(OR($AZ$9="",$BB$9=""),"",CZ32)</f>
        <v/>
      </c>
      <c r="BD26" s="95"/>
      <c r="BE26" s="96" t="str">
        <f>IF(OR($AZ$9="",$BB$9=""),"",DA32)</f>
        <v/>
      </c>
      <c r="BF26" s="98"/>
      <c r="BH26" s="197"/>
      <c r="BJ26" s="80"/>
      <c r="BK26" s="81"/>
      <c r="BL26" s="81"/>
      <c r="BM26" s="81"/>
      <c r="BN26" s="82"/>
      <c r="BO26" s="82"/>
      <c r="BP26" s="82"/>
      <c r="BQ26" s="81"/>
      <c r="BR26" s="81"/>
      <c r="BS26" s="81"/>
      <c r="BT26" s="82"/>
      <c r="BU26" s="189"/>
      <c r="BV26" s="189"/>
      <c r="BW26" s="82"/>
      <c r="BX26" s="81"/>
      <c r="BY26" s="82"/>
      <c r="BZ26" s="190"/>
      <c r="CA26" s="65"/>
      <c r="CB26" s="63"/>
      <c r="CR26" s="37" t="str">
        <f t="shared" si="18"/>
        <v/>
      </c>
      <c r="DX26" s="51">
        <v>41088.864583333336</v>
      </c>
      <c r="DZ26" s="51" t="str">
        <f t="shared" ca="1" si="0"/>
        <v>frei</v>
      </c>
      <c r="EA26" s="51" t="s">
        <v>172</v>
      </c>
      <c r="EB26" s="51" t="s">
        <v>173</v>
      </c>
      <c r="EC26" t="s">
        <v>37</v>
      </c>
      <c r="ED26" s="50">
        <v>45466.875</v>
      </c>
      <c r="EE26" t="s">
        <v>441</v>
      </c>
      <c r="EF26" t="s">
        <v>155</v>
      </c>
      <c r="EG26">
        <v>39</v>
      </c>
      <c r="EH26" t="s">
        <v>364</v>
      </c>
      <c r="EI26" t="s">
        <v>365</v>
      </c>
      <c r="EJ26">
        <v>26</v>
      </c>
      <c r="EM26" t="s">
        <v>259</v>
      </c>
      <c r="EN26" t="s">
        <v>260</v>
      </c>
    </row>
    <row r="27" spans="2:144" x14ac:dyDescent="0.2">
      <c r="T27" s="197"/>
      <c r="AN27" s="197"/>
      <c r="BH27" s="197"/>
      <c r="BJ27" s="62"/>
      <c r="BK27" s="62"/>
      <c r="BL27" s="62"/>
      <c r="BM27" s="62"/>
      <c r="BN27" s="62"/>
      <c r="BO27" s="62"/>
      <c r="BP27" s="62"/>
      <c r="BQ27" s="62"/>
      <c r="BR27" s="62"/>
      <c r="BS27" s="62"/>
      <c r="BT27" s="62"/>
      <c r="BU27" s="62"/>
      <c r="BV27" s="62"/>
      <c r="BW27" s="62"/>
      <c r="BX27" s="62"/>
      <c r="BY27" s="62"/>
      <c r="BZ27" s="62"/>
      <c r="CA27" s="62"/>
      <c r="CB27" s="63"/>
      <c r="CR27" s="37" t="str">
        <f t="shared" si="18"/>
        <v/>
      </c>
      <c r="CS27" t="s">
        <v>2</v>
      </c>
      <c r="CX27" s="2"/>
      <c r="CY27" s="2"/>
      <c r="DX27" s="51">
        <v>41091.864583333336</v>
      </c>
      <c r="DZ27" s="51" t="str">
        <f t="shared" ca="1" si="0"/>
        <v>frei</v>
      </c>
      <c r="EA27" s="51" t="s">
        <v>174</v>
      </c>
      <c r="EB27" s="51" t="s">
        <v>175</v>
      </c>
      <c r="EC27" t="s">
        <v>39</v>
      </c>
      <c r="ED27" s="50">
        <v>45468.875</v>
      </c>
      <c r="EE27" t="s">
        <v>158</v>
      </c>
      <c r="EF27" t="s">
        <v>502</v>
      </c>
      <c r="EG27">
        <v>41</v>
      </c>
      <c r="EH27" t="s">
        <v>366</v>
      </c>
      <c r="EI27" t="s">
        <v>367</v>
      </c>
      <c r="EJ27">
        <v>27</v>
      </c>
      <c r="EM27" t="s">
        <v>261</v>
      </c>
      <c r="EN27" t="s">
        <v>262</v>
      </c>
    </row>
    <row r="28" spans="2:144" x14ac:dyDescent="0.2">
      <c r="T28" s="2"/>
      <c r="AN28" s="2"/>
      <c r="BH28" s="2"/>
      <c r="BJ28" s="62"/>
      <c r="BK28" s="62"/>
      <c r="BL28" s="62"/>
      <c r="BM28" s="62"/>
      <c r="BN28" s="62"/>
      <c r="BO28" s="62"/>
      <c r="BP28" s="62"/>
      <c r="BQ28" s="62"/>
      <c r="BR28" s="62"/>
      <c r="BS28" s="62"/>
      <c r="BT28" s="62"/>
      <c r="BU28" s="62"/>
      <c r="BV28" s="62"/>
      <c r="BW28" s="62"/>
      <c r="BX28" s="62"/>
      <c r="BY28" s="62"/>
      <c r="BZ28" s="62"/>
      <c r="CA28" s="62"/>
      <c r="CB28" s="62"/>
      <c r="CD28" s="2"/>
      <c r="CE28" s="85" t="s">
        <v>2</v>
      </c>
      <c r="CF28" s="209" t="s">
        <v>36</v>
      </c>
      <c r="CG28" s="209"/>
      <c r="CH28" s="209"/>
      <c r="CI28" s="6"/>
      <c r="CJ28" s="6"/>
      <c r="CK28" s="6"/>
      <c r="CL28" s="6"/>
      <c r="CM28" s="6"/>
      <c r="CN28" s="6"/>
      <c r="CO28" s="6"/>
      <c r="CP28" s="6"/>
      <c r="CQ28" s="7"/>
      <c r="CR28" s="37" t="str">
        <f t="shared" si="18"/>
        <v/>
      </c>
      <c r="CS28" s="87" t="s">
        <v>34</v>
      </c>
      <c r="CT28" t="s">
        <v>30</v>
      </c>
      <c r="CU28" t="s">
        <v>31</v>
      </c>
      <c r="CV28" t="s">
        <v>32</v>
      </c>
      <c r="CW28" t="s">
        <v>33</v>
      </c>
      <c r="CX28" s="4" t="s">
        <v>22</v>
      </c>
      <c r="CY28" s="2" t="s">
        <v>112</v>
      </c>
      <c r="CZ28" t="s">
        <v>25</v>
      </c>
      <c r="DA28" t="s">
        <v>21</v>
      </c>
      <c r="DB28" s="9" t="s">
        <v>121</v>
      </c>
      <c r="DC28" t="s">
        <v>113</v>
      </c>
      <c r="DD28" t="s">
        <v>117</v>
      </c>
      <c r="DE28" t="s">
        <v>118</v>
      </c>
      <c r="DF28" t="s">
        <v>119</v>
      </c>
      <c r="DG28" t="s">
        <v>120</v>
      </c>
      <c r="DH28" t="s">
        <v>34</v>
      </c>
      <c r="DJ28" s="55" t="s">
        <v>116</v>
      </c>
      <c r="DK28" s="6"/>
      <c r="DL28" s="6"/>
      <c r="DM28" s="6"/>
      <c r="DN28" s="7" t="s">
        <v>115</v>
      </c>
      <c r="DP28" t="s">
        <v>21</v>
      </c>
      <c r="DR28" t="s">
        <v>21</v>
      </c>
      <c r="DS28" t="s">
        <v>22</v>
      </c>
      <c r="DT28" t="s">
        <v>22</v>
      </c>
      <c r="DZ28" s="51" t="str">
        <f t="shared" ca="1" si="0"/>
        <v>frei</v>
      </c>
      <c r="EC28" t="s">
        <v>39</v>
      </c>
      <c r="ED28" s="50">
        <v>45468.875</v>
      </c>
      <c r="EE28" t="s">
        <v>495</v>
      </c>
      <c r="EF28" t="s">
        <v>159</v>
      </c>
      <c r="EG28">
        <v>43</v>
      </c>
      <c r="EH28" t="s">
        <v>368</v>
      </c>
      <c r="EI28" t="s">
        <v>369</v>
      </c>
      <c r="EJ28">
        <v>28</v>
      </c>
      <c r="EM28" t="s">
        <v>263</v>
      </c>
      <c r="EN28" t="s">
        <v>264</v>
      </c>
    </row>
    <row r="29" spans="2:144" x14ac:dyDescent="0.2">
      <c r="B29" s="147"/>
      <c r="C29" s="148" t="s">
        <v>3</v>
      </c>
      <c r="D29" s="148"/>
      <c r="E29" s="148"/>
      <c r="F29" s="148"/>
      <c r="G29" s="148"/>
      <c r="H29" s="148"/>
      <c r="I29" s="148"/>
      <c r="J29" s="148"/>
      <c r="K29" s="148"/>
      <c r="L29" s="148"/>
      <c r="M29" s="148"/>
      <c r="N29" s="149"/>
      <c r="O29" s="148"/>
      <c r="P29" s="148"/>
      <c r="Q29" s="148"/>
      <c r="R29" s="149"/>
      <c r="T29" s="2"/>
      <c r="V29" s="147"/>
      <c r="W29" s="148" t="s">
        <v>176</v>
      </c>
      <c r="X29" s="148"/>
      <c r="Y29" s="148"/>
      <c r="Z29" s="148"/>
      <c r="AA29" s="148"/>
      <c r="AB29" s="148"/>
      <c r="AC29" s="148"/>
      <c r="AD29" s="148"/>
      <c r="AE29" s="148"/>
      <c r="AF29" s="148"/>
      <c r="AG29" s="148"/>
      <c r="AH29" s="148"/>
      <c r="AI29" s="148"/>
      <c r="AJ29" s="148"/>
      <c r="AK29" s="148"/>
      <c r="AL29" s="148"/>
      <c r="AN29" s="2"/>
      <c r="AP29" s="147"/>
      <c r="AQ29" s="148" t="s">
        <v>177</v>
      </c>
      <c r="AR29" s="148"/>
      <c r="AS29" s="148"/>
      <c r="AT29" s="148"/>
      <c r="AU29" s="148"/>
      <c r="AV29" s="148"/>
      <c r="AW29" s="148"/>
      <c r="AX29" s="148"/>
      <c r="AY29" s="148"/>
      <c r="AZ29" s="148"/>
      <c r="BA29" s="148"/>
      <c r="BB29" s="148"/>
      <c r="BC29" s="148"/>
      <c r="BD29" s="148"/>
      <c r="BE29" s="148"/>
      <c r="BF29" s="148"/>
      <c r="BH29" s="2"/>
      <c r="BJ29" s="59"/>
      <c r="BK29" s="60"/>
      <c r="BL29" s="60"/>
      <c r="BM29" s="60"/>
      <c r="BN29" s="60"/>
      <c r="BO29" s="60"/>
      <c r="BP29" s="60"/>
      <c r="BQ29" s="60"/>
      <c r="BR29" s="60"/>
      <c r="BS29" s="60"/>
      <c r="BT29" s="60"/>
      <c r="BU29" s="60"/>
      <c r="BV29" s="60"/>
      <c r="BW29" s="60"/>
      <c r="BX29" s="60"/>
      <c r="BY29" s="60"/>
      <c r="BZ29" s="60"/>
      <c r="CA29" s="61"/>
      <c r="CB29" s="61"/>
      <c r="CD29" s="2" t="s">
        <v>96</v>
      </c>
      <c r="CE29" s="8"/>
      <c r="CF29" s="9" t="s">
        <v>12</v>
      </c>
      <c r="CG29" s="9" t="s">
        <v>25</v>
      </c>
      <c r="CH29" s="9" t="s">
        <v>26</v>
      </c>
      <c r="CI29" s="206" t="s">
        <v>27</v>
      </c>
      <c r="CJ29" s="206"/>
      <c r="CK29" s="207" t="s">
        <v>35</v>
      </c>
      <c r="CL29" s="207"/>
      <c r="CM29" s="207"/>
      <c r="CN29" s="207"/>
      <c r="CO29" s="208" t="s">
        <v>28</v>
      </c>
      <c r="CP29" s="208"/>
      <c r="CQ29" s="10" t="s">
        <v>29</v>
      </c>
      <c r="CR29" s="37" t="str">
        <f t="shared" si="18"/>
        <v/>
      </c>
      <c r="CS29" s="86" t="s">
        <v>658</v>
      </c>
      <c r="CT29">
        <f>COUNTIF(CI$8:CJ$69,CS29&amp;"x")</f>
        <v>0</v>
      </c>
      <c r="CU29">
        <f>COUNTIF(CO$8:CP$69,CS29&amp;3)</f>
        <v>0</v>
      </c>
      <c r="CV29">
        <f>COUNTIF(CO$8:CP$69,CS29&amp;1)</f>
        <v>0</v>
      </c>
      <c r="CW29">
        <f>COUNTIF(CO$8:CP$69,CS29&amp;0)</f>
        <v>0</v>
      </c>
      <c r="CX29" s="2">
        <f>SUMIF($AQ$9:$AQ$20,CS29,$AZ$9:$AZ$20)+SUMIF($AS$9:$AS$20,CS29,$BB$9:$BB$20)</f>
        <v>0</v>
      </c>
      <c r="CY29" s="2">
        <f>SUMIF($AQ$9:$AQ$20,CS29,$BB$9:$BB$20)+SUMIF($AS$9:$AS$20,CS29,$AZ$9:$AZ$20)</f>
        <v>0</v>
      </c>
      <c r="CZ29">
        <f>CX29-CY29</f>
        <v>0</v>
      </c>
      <c r="DA29">
        <f>SUMIF(CM$8:CM$69,CS29,CN$8:CN$69)+SUMIF(CK$8:CK$69,CS29,CL$8:CL$69)</f>
        <v>0</v>
      </c>
      <c r="DB29" s="9"/>
      <c r="DC29" t="str">
        <f>IF(COUNTIF($DA$29:$DA$32,DA29)&gt;1,"dV"&amp;DA29,"")</f>
        <v>dV0</v>
      </c>
      <c r="DD29" s="56">
        <f>DA29+(SUMIF($DO$29:$DO$34,DH29,$DP$29:$DP$34)+SUMIF($DQ$29:$DQ$34,DH29,$DR$29:$DR$34))/10</f>
        <v>0</v>
      </c>
      <c r="DE29" s="47">
        <f>DF29-DG29</f>
        <v>0</v>
      </c>
      <c r="DF29" s="47">
        <f>SUMIF($DO$29:$DO$34,DH29,$DS$29:$DS$34)+SUMIF($DQ$29:$DQ$34,DH29,$DT$29:$DT$34)</f>
        <v>0</v>
      </c>
      <c r="DG29" s="47">
        <f>SUMIF($DO$29:$DO$34,DH29,$DT$29:$DT$34)+SUMIF($DQ$29:$DQ$34,DH29,$DS$29:$DS$34)</f>
        <v>0</v>
      </c>
      <c r="DH29" t="str">
        <f>CS29&amp;"dV"</f>
        <v>SloweniendV</v>
      </c>
      <c r="DJ29" s="8" t="str">
        <f t="shared" ref="DJ29:DJ34" si="35">CK31</f>
        <v>Slowenien</v>
      </c>
      <c r="DK29" t="str">
        <f t="shared" ref="DK29:DK34" si="36">VLOOKUP(DJ29,$CS$28:$DC$32,11,FALSE)</f>
        <v>dV0</v>
      </c>
      <c r="DL29" t="str">
        <f t="shared" ref="DL29:DL34" si="37">CM31</f>
        <v>Dänemark</v>
      </c>
      <c r="DM29" t="str">
        <f t="shared" ref="DM29:DM34" si="38">VLOOKUP(DL29,$CS$28:$DC$32,11,FALSE)</f>
        <v>dV0</v>
      </c>
      <c r="DN29" s="12" t="str">
        <f t="shared" ref="DN29:DN34" si="39">IF(AND(DK29&lt;&gt;"",DM29&lt;&gt;"",DK29=DM29),RIGHT(DK29,1),"")</f>
        <v>0</v>
      </c>
      <c r="DO29" t="str">
        <f t="shared" ref="DO29:DO34" si="40">DJ29&amp;LEFT(DK29,2)</f>
        <v>SloweniendV</v>
      </c>
      <c r="DP29" t="str">
        <f t="shared" ref="DP29:DP34" si="41">IF(DN29&lt;&gt;"",CL31,"")</f>
        <v/>
      </c>
      <c r="DQ29" t="str">
        <f t="shared" ref="DQ29:DQ34" si="42">DL29&amp;LEFT(DM29,2)</f>
        <v>DänemarkdV</v>
      </c>
      <c r="DR29" t="str">
        <f t="shared" ref="DR29:DR34" si="43">IF(DN29&lt;&gt;"",CN31,"")</f>
        <v/>
      </c>
      <c r="DS29">
        <f>IF(DN29&lt;&gt;"",VLOOKUP(DJ29&amp;DL29,$AY$9:$BB$19,2,FALSE),"")</f>
        <v>0</v>
      </c>
      <c r="DT29">
        <f>IF(DN29&lt;&gt;"",VLOOKUP(DJ29&amp;DL29,$AY$9:$BB$19,4,FALSE),"")</f>
        <v>0</v>
      </c>
      <c r="DZ29" s="51" t="str">
        <f t="shared" ca="1" si="0"/>
        <v>frei</v>
      </c>
      <c r="EC29" t="s">
        <v>38</v>
      </c>
      <c r="ED29" s="50">
        <v>45467.875</v>
      </c>
      <c r="EE29" t="s">
        <v>156</v>
      </c>
      <c r="EF29" t="s">
        <v>488</v>
      </c>
      <c r="EG29">
        <v>45</v>
      </c>
      <c r="EH29" t="s">
        <v>370</v>
      </c>
      <c r="EI29" t="s">
        <v>371</v>
      </c>
      <c r="EJ29">
        <v>29</v>
      </c>
      <c r="EM29" t="s">
        <v>265</v>
      </c>
      <c r="EN29" t="s">
        <v>266</v>
      </c>
    </row>
    <row r="30" spans="2:144" x14ac:dyDescent="0.2">
      <c r="T30" s="2"/>
      <c r="AN30" s="2"/>
      <c r="BH30" s="2"/>
      <c r="BJ30" s="62"/>
      <c r="BK30" s="62"/>
      <c r="BL30" s="62"/>
      <c r="BM30" s="62"/>
      <c r="BN30" s="62"/>
      <c r="BO30" s="62"/>
      <c r="BP30" s="62"/>
      <c r="BQ30" s="62"/>
      <c r="BR30" s="62"/>
      <c r="BS30" s="62"/>
      <c r="BT30" s="62"/>
      <c r="BU30" s="62"/>
      <c r="BV30" s="62"/>
      <c r="BW30" s="62"/>
      <c r="BX30" s="62"/>
      <c r="BY30" s="62"/>
      <c r="BZ30" s="62"/>
      <c r="CA30" s="62"/>
      <c r="CB30" s="62"/>
      <c r="CD30" s="2"/>
      <c r="CE30" s="11"/>
      <c r="CQ30" s="12"/>
      <c r="CR30" s="37" t="str">
        <f t="shared" si="18"/>
        <v/>
      </c>
      <c r="CS30" s="86" t="s">
        <v>509</v>
      </c>
      <c r="CT30">
        <f>COUNTIF(CI$8:CJ$69,CS30&amp;"x")</f>
        <v>0</v>
      </c>
      <c r="CU30">
        <f>COUNTIF(CO$8:CP$69,CS30&amp;3)</f>
        <v>0</v>
      </c>
      <c r="CV30">
        <f>COUNTIF(CO$8:CP$69,CS30&amp;1)</f>
        <v>0</v>
      </c>
      <c r="CW30">
        <f>COUNTIF(CO$8:CP$69,CS30&amp;0)</f>
        <v>0</v>
      </c>
      <c r="CX30" s="2">
        <f>SUMIF($AQ$9:$AQ$20,CS30,$AZ$9:$AZ$20)+SUMIF($AS$9:$AS$20,CS30,$BB$9:$BB$20)</f>
        <v>0</v>
      </c>
      <c r="CY30" s="2">
        <f>SUMIF($AQ$9:$AQ$20,CS30,$BB$9:$BB$20)+SUMIF($AS$9:$AS$20,CS30,$AZ$9:$AZ$20)</f>
        <v>0</v>
      </c>
      <c r="CZ30">
        <f>CX30-CY30</f>
        <v>0</v>
      </c>
      <c r="DA30">
        <f>SUMIF(CM$8:CM$69,CS30,CN$8:CN$69)+SUMIF(CK$8:CK$69,CS30,CL$8:CL$69)</f>
        <v>0</v>
      </c>
      <c r="DB30" s="9"/>
      <c r="DC30" t="str">
        <f>IF(COUNTIF($DA$29:$DA$32,DA30)&gt;1,"dV"&amp;DA30,"")</f>
        <v>dV0</v>
      </c>
      <c r="DD30" s="56">
        <f>DA30+(SUMIF($DO$29:$DO$34,DH30,$DP$29:$DP$34)+SUMIF($DQ$29:$DQ$34,DH30,$DR$29:$DR$34))/10</f>
        <v>0</v>
      </c>
      <c r="DE30" s="47">
        <f>DF30-DG30</f>
        <v>0</v>
      </c>
      <c r="DF30" s="47">
        <f>SUMIF($DO$29:$DO$34,DH30,$DS$29:$DS$34)+SUMIF($DQ$29:$DQ$34,DH30,$DT$29:$DT$34)</f>
        <v>0</v>
      </c>
      <c r="DG30" s="47">
        <f>SUMIF($DO$29:$DO$34,DH30,$DT$29:$DT$34)+SUMIF($DQ$29:$DQ$34,DH30,$DS$29:$DS$34)</f>
        <v>0</v>
      </c>
      <c r="DH30" t="str">
        <f>CS30&amp;"dV"</f>
        <v>DänemarkdV</v>
      </c>
      <c r="DJ30" s="8" t="str">
        <f t="shared" si="35"/>
        <v>Serbien</v>
      </c>
      <c r="DK30" t="str">
        <f t="shared" si="36"/>
        <v>dV0</v>
      </c>
      <c r="DL30" t="str">
        <f t="shared" si="37"/>
        <v>England</v>
      </c>
      <c r="DM30" t="str">
        <f t="shared" si="38"/>
        <v>dV0</v>
      </c>
      <c r="DN30" s="12" t="str">
        <f t="shared" si="39"/>
        <v>0</v>
      </c>
      <c r="DO30" t="str">
        <f t="shared" si="40"/>
        <v>SerbiendV</v>
      </c>
      <c r="DP30" t="str">
        <f t="shared" si="41"/>
        <v/>
      </c>
      <c r="DQ30" t="str">
        <f t="shared" si="42"/>
        <v>EnglanddV</v>
      </c>
      <c r="DR30" t="str">
        <f t="shared" si="43"/>
        <v/>
      </c>
      <c r="DS30">
        <f t="shared" ref="DS30:DS34" si="44">IF(DN30&lt;&gt;"",VLOOKUP(DJ30&amp;DL30,$AY$9:$BB$19,2,FALSE),"")</f>
        <v>0</v>
      </c>
      <c r="DT30">
        <f t="shared" ref="DT30:DT34" si="45">IF(DN30&lt;&gt;"",VLOOKUP(DJ30&amp;DL30,$AY$9:$BB$19,4,FALSE),"")</f>
        <v>0</v>
      </c>
      <c r="DZ30" s="51" t="str">
        <f t="shared" ca="1" si="0"/>
        <v>frei</v>
      </c>
      <c r="EC30" t="s">
        <v>38</v>
      </c>
      <c r="ED30" s="50">
        <v>45467.875</v>
      </c>
      <c r="EE30" t="s">
        <v>481</v>
      </c>
      <c r="EF30" t="s">
        <v>157</v>
      </c>
      <c r="EG30">
        <v>47</v>
      </c>
      <c r="EH30" t="s">
        <v>372</v>
      </c>
      <c r="EI30" t="s">
        <v>373</v>
      </c>
      <c r="EJ30">
        <v>30</v>
      </c>
      <c r="EM30" t="s">
        <v>267</v>
      </c>
      <c r="EN30" t="s">
        <v>268</v>
      </c>
    </row>
    <row r="31" spans="2:144" ht="15.95" customHeight="1" x14ac:dyDescent="0.2">
      <c r="C31" s="83" t="s">
        <v>706</v>
      </c>
      <c r="E31" s="83" t="s">
        <v>510</v>
      </c>
      <c r="T31" s="2"/>
      <c r="W31" s="83" t="s">
        <v>183</v>
      </c>
      <c r="Y31" s="83" t="s">
        <v>181</v>
      </c>
      <c r="AN31" s="2"/>
      <c r="AQ31" s="83" t="s">
        <v>182</v>
      </c>
      <c r="AS31" s="83" t="s">
        <v>708</v>
      </c>
      <c r="BH31" s="2"/>
      <c r="BJ31" s="62"/>
      <c r="BK31" s="62"/>
      <c r="BL31" s="62"/>
      <c r="BM31" s="62"/>
      <c r="BN31" s="62"/>
      <c r="BO31" s="62"/>
      <c r="BP31" s="62"/>
      <c r="BQ31" s="62"/>
      <c r="BR31" s="62"/>
      <c r="BS31" s="62"/>
      <c r="BT31" s="62"/>
      <c r="BU31" s="62"/>
      <c r="BV31" s="62"/>
      <c r="BW31" s="62"/>
      <c r="BX31" s="62"/>
      <c r="BY31" s="62"/>
      <c r="BZ31" s="62"/>
      <c r="CA31" s="62"/>
      <c r="CB31" s="62"/>
      <c r="CD31" s="2">
        <f>IF(OR(AZ9="",BB9=""),0,SUM(CF31:CH31))</f>
        <v>0</v>
      </c>
      <c r="CE31" s="11"/>
      <c r="CF31" t="str">
        <f>IF(AND(AZ9&amp;BB9=BD9&amp;BF9,BD9&amp;BF9&lt;&gt;"",AZ9&lt;&gt;"",BB9&lt;&gt;"",BD9&lt;&gt;"",BF9&lt;&gt;""),Spielregeln!$D$9,"")</f>
        <v/>
      </c>
      <c r="CG31" t="str">
        <f>IF(AND(CF31="",AZ9-BB9=BD9-BF9,BD9&amp;BF9&lt;&gt;"",AZ9&lt;&gt;"",BB9&lt;&gt;"",BD9&lt;&gt;"",BF9&lt;&gt;""),IF(OR(AND(AZ9=BB9,Spielregeln!$E$13="Tordifferenz"),AZ9&lt;&gt;BB9),Spielregeln!$D$10,""),"")</f>
        <v/>
      </c>
      <c r="CH31" t="str">
        <f>IF(OR(AZ9="",BB9="",BD9="",BF9=""),"",IF(AND(AZ9-BB9&gt;0,CF31="",CG31="",BD9-BF9&gt;0),Spielregeln!$D$11,IF(AND(AZ9-BB9=0,CF31="",CG31="",BD9-BF9=0,BD9&amp;BF9&lt;&gt;""),Spielregeln!$D$11,IF(AND(AZ9-BB9&lt;0,CF31="",CG31="",BD9-BF9&lt;0),Spielregeln!$D$11,""))))</f>
        <v/>
      </c>
      <c r="CI31" t="str">
        <f>IF(AND(AZ9&lt;&gt;"",BB9&lt;&gt;""),AQ9&amp;"x","")</f>
        <v/>
      </c>
      <c r="CJ31" t="str">
        <f>IF(AND(AZ9&lt;&gt;"",BB9&lt;&gt;""),AS9&amp;"x","")</f>
        <v/>
      </c>
      <c r="CK31" t="str">
        <f>AQ9</f>
        <v>Slowenien</v>
      </c>
      <c r="CL31" t="str">
        <f>IF(AND(AZ9&gt;BB9,AZ9&lt;&gt;"",BB9&lt;&gt;""),3,IF(AND(AZ9=BB9,AZ9&lt;&gt;"",BB9&lt;&gt;""),1,IF(OR(AZ9="",BB9=""),"",0)))</f>
        <v/>
      </c>
      <c r="CM31" t="str">
        <f>AS9</f>
        <v>Dänemark</v>
      </c>
      <c r="CN31" t="str">
        <f>IF(AND(AZ9&lt;BB9,AZ9&lt;&gt;"",BB9&lt;&gt;""),3,IF(AND(AZ9=BB9,AZ9&lt;&gt;"",BB9&lt;&gt;""),1,IF(OR(AZ9="",BB9=""),"",0)))</f>
        <v/>
      </c>
      <c r="CO31" t="str">
        <f t="shared" ref="CO31:CO36" si="46">CK31&amp;CL31</f>
        <v>Slowenien</v>
      </c>
      <c r="CP31" t="str">
        <f t="shared" ref="CP31:CP36" si="47">CM31&amp;CN31</f>
        <v>Dänemark</v>
      </c>
      <c r="CQ31" s="12" t="str">
        <f>IF(AZ9&gt;BB9,1,IF(AND(AZ9=BB9,AZ9&lt;&gt;"",BB9&lt;&gt;""),0,IF(AZ9&lt;BB9,2,"")))</f>
        <v/>
      </c>
      <c r="CR31" s="37" t="str">
        <f t="shared" si="18"/>
        <v/>
      </c>
      <c r="CS31" s="86" t="s">
        <v>659</v>
      </c>
      <c r="CT31">
        <f>COUNTIF(CI$8:CJ$69,CS31&amp;"x")</f>
        <v>0</v>
      </c>
      <c r="CU31">
        <f>COUNTIF(CO$8:CP$69,CS31&amp;3)</f>
        <v>0</v>
      </c>
      <c r="CV31">
        <f>COUNTIF(CO$8:CP$69,CS31&amp;1)</f>
        <v>0</v>
      </c>
      <c r="CW31">
        <f>COUNTIF(CO$8:CP$69,CS31&amp;0)</f>
        <v>0</v>
      </c>
      <c r="CX31" s="2">
        <f>SUMIF($AQ$9:$AQ$20,CS31,$AZ$9:$AZ$20)+SUMIF($AS$9:$AS$20,CS31,$BB$9:$BB$20)</f>
        <v>0</v>
      </c>
      <c r="CY31" s="2">
        <f>SUMIF($AQ$9:$AQ$20,CS31,$BB$9:$BB$20)+SUMIF($AS$9:$AS$20,CS31,$AZ$9:$AZ$20)</f>
        <v>0</v>
      </c>
      <c r="CZ31">
        <f>CX31-CY31</f>
        <v>0</v>
      </c>
      <c r="DA31">
        <f>SUMIF(CM$8:CM$69,CS31,CN$8:CN$69)+SUMIF(CK$8:CK$69,CS31,CL$8:CL$69)</f>
        <v>0</v>
      </c>
      <c r="DB31" s="9"/>
      <c r="DC31" t="str">
        <f>IF(COUNTIF($DA$29:$DA$32,DA31)&gt;1,"dV"&amp;DA31,"")</f>
        <v>dV0</v>
      </c>
      <c r="DD31" s="56">
        <f>DA31+(SUMIF($DO$29:$DO$34,DH31,$DP$29:$DP$34)+SUMIF($DQ$29:$DQ$34,DH31,$DR$29:$DR$34))/10</f>
        <v>0</v>
      </c>
      <c r="DE31" s="47">
        <f>DF31-DG31</f>
        <v>0</v>
      </c>
      <c r="DF31" s="47">
        <f>SUMIF($DO$29:$DO$34,DH31,$DS$29:$DS$34)+SUMIF($DQ$29:$DQ$34,DH31,$DT$29:$DT$34)</f>
        <v>0</v>
      </c>
      <c r="DG31" s="47">
        <f>SUMIF($DO$29:$DO$34,DH31,$DT$29:$DT$34)+SUMIF($DQ$29:$DQ$34,DH31,$DS$29:$DS$34)</f>
        <v>0</v>
      </c>
      <c r="DH31" t="str">
        <f>CS31&amp;"dV"</f>
        <v>SerbiendV</v>
      </c>
      <c r="DJ31" s="8" t="str">
        <f t="shared" si="35"/>
        <v>Slowenien</v>
      </c>
      <c r="DK31" t="str">
        <f t="shared" si="36"/>
        <v>dV0</v>
      </c>
      <c r="DL31" t="str">
        <f t="shared" si="37"/>
        <v>Serbien</v>
      </c>
      <c r="DM31" t="str">
        <f t="shared" si="38"/>
        <v>dV0</v>
      </c>
      <c r="DN31" s="12" t="str">
        <f t="shared" si="39"/>
        <v>0</v>
      </c>
      <c r="DO31" t="str">
        <f t="shared" si="40"/>
        <v>SloweniendV</v>
      </c>
      <c r="DP31" t="str">
        <f t="shared" si="41"/>
        <v/>
      </c>
      <c r="DQ31" t="str">
        <f t="shared" si="42"/>
        <v>SerbiendV</v>
      </c>
      <c r="DR31" t="str">
        <f t="shared" si="43"/>
        <v/>
      </c>
      <c r="DS31">
        <f t="shared" si="44"/>
        <v>0</v>
      </c>
      <c r="DT31">
        <f t="shared" si="45"/>
        <v>0</v>
      </c>
      <c r="DZ31" s="51" t="str">
        <f t="shared" ca="1" si="0"/>
        <v>frei</v>
      </c>
      <c r="EC31" t="s">
        <v>40</v>
      </c>
      <c r="ED31" s="50">
        <v>45468.75</v>
      </c>
      <c r="EE31" t="s">
        <v>445</v>
      </c>
      <c r="EF31" t="s">
        <v>465</v>
      </c>
      <c r="EG31">
        <v>37</v>
      </c>
      <c r="EH31" t="s">
        <v>374</v>
      </c>
      <c r="EI31" t="s">
        <v>375</v>
      </c>
      <c r="EJ31">
        <v>31</v>
      </c>
      <c r="EM31" t="s">
        <v>269</v>
      </c>
      <c r="EN31" t="s">
        <v>270</v>
      </c>
    </row>
    <row r="32" spans="2:144" ht="12.75" customHeight="1" x14ac:dyDescent="0.2">
      <c r="T32" s="2"/>
      <c r="AN32" s="2"/>
      <c r="BH32" s="2"/>
      <c r="BJ32" s="62"/>
      <c r="BK32" s="62"/>
      <c r="BL32" s="62"/>
      <c r="BM32" s="62"/>
      <c r="BN32" s="62"/>
      <c r="BO32" s="62"/>
      <c r="BP32" s="62"/>
      <c r="BQ32" s="62"/>
      <c r="BR32" s="62"/>
      <c r="BS32" s="62"/>
      <c r="BT32" s="62"/>
      <c r="BU32" s="62"/>
      <c r="BV32" s="62"/>
      <c r="BW32" s="62"/>
      <c r="BX32" s="62"/>
      <c r="BY32" s="62"/>
      <c r="BZ32" s="62"/>
      <c r="CA32" s="62"/>
      <c r="CB32" s="62"/>
      <c r="CD32" s="2">
        <f>IF(OR(AZ11="",BB11=""),0,SUM(CF32:CH32))</f>
        <v>0</v>
      </c>
      <c r="CE32" s="11"/>
      <c r="CF32" t="str">
        <f>IF(AND(AZ11&amp;BB11=BD11&amp;BF11,BD11&amp;BF11&lt;&gt;"",AZ11&lt;&gt;"",BB11&lt;&gt;"",BD11&lt;&gt;"",BF11&lt;&gt;""),Spielregeln!$D$9,"")</f>
        <v/>
      </c>
      <c r="CG32" t="str">
        <f>IF(AND(CF32="",AZ11-BB11=BD11-BF11,BD11&amp;BF11&lt;&gt;"",AZ11&lt;&gt;"",BB11&lt;&gt;"",BD11&lt;&gt;"",BF11&lt;&gt;""),IF(OR(AND(AZ11=BB11,Spielregeln!$E$13="Tordifferenz"),AZ11&lt;&gt;BB11),Spielregeln!$D$10,""),"")</f>
        <v/>
      </c>
      <c r="CH32" t="str">
        <f>IF(OR(AZ11="",BB11="",BD11="",BF11=""),"",IF(AND(AZ11-BB11&gt;0,CF32="",CG32="",BD11-BF11&gt;0),Spielregeln!$D$11,IF(AND(AZ11-BB11=0,CF32="",CG32="",BD11-BF11=0,BD11&amp;BF11&lt;&gt;""),Spielregeln!$D$11,IF(AND(AZ11-BB11&lt;0,CF32="",CG32="",BD11-BF11&lt;0),Spielregeln!$D$11,""))))</f>
        <v/>
      </c>
      <c r="CI32" t="str">
        <f>IF(AND(AZ11&lt;&gt;"",BB11&lt;&gt;""),AQ11&amp;"x","")</f>
        <v/>
      </c>
      <c r="CJ32" t="str">
        <f>IF(AND(AZ11&lt;&gt;"",BB11&lt;&gt;""),AS11&amp;"x","")</f>
        <v/>
      </c>
      <c r="CK32" t="str">
        <f>AQ11</f>
        <v>Serbien</v>
      </c>
      <c r="CL32" t="str">
        <f>IF(AND(AZ11&gt;BB11,AZ11&lt;&gt;"",BB11&lt;&gt;""),3,IF(AND(AZ11=BB11,AZ11&lt;&gt;"",BB11&lt;&gt;""),1,IF(OR(AZ11="",BB11=""),"",0)))</f>
        <v/>
      </c>
      <c r="CM32" t="str">
        <f>AS11</f>
        <v>England</v>
      </c>
      <c r="CN32" t="str">
        <f>IF(AND(AZ11&lt;BB11,AZ11&lt;&gt;"",BB11&lt;&gt;""),3,IF(AND(AZ11=BB11,AZ11&lt;&gt;"",BB11&lt;&gt;""),1,IF(OR(AZ11="",BB11=""),"",0)))</f>
        <v/>
      </c>
      <c r="CO32" t="str">
        <f t="shared" si="46"/>
        <v>Serbien</v>
      </c>
      <c r="CP32" t="str">
        <f t="shared" si="47"/>
        <v>England</v>
      </c>
      <c r="CQ32" s="12" t="str">
        <f>IF(AZ11&gt;BB11,1,IF(AND(AZ11=BB11,AZ11&lt;&gt;"",BB11&lt;&gt;""),0,IF(AZ11&lt;BB11,2,"")))</f>
        <v/>
      </c>
      <c r="CS32" s="86" t="s">
        <v>11</v>
      </c>
      <c r="CT32">
        <f>COUNTIF(CI$8:CJ$69,CS32&amp;"x")</f>
        <v>0</v>
      </c>
      <c r="CU32">
        <f>COUNTIF(CO$8:CP$69,CS32&amp;3)</f>
        <v>0</v>
      </c>
      <c r="CV32">
        <f>COUNTIF(CO$8:CP$69,CS32&amp;1)</f>
        <v>0</v>
      </c>
      <c r="CW32">
        <f>COUNTIF(CO$8:CP$69,CS32&amp;0)</f>
        <v>0</v>
      </c>
      <c r="CX32" s="2">
        <f>SUMIF($AQ$9:$AQ$20,CS32,$AZ$9:$AZ$20)+SUMIF($AS$9:$AS$20,CS32,$BB$9:$BB$20)</f>
        <v>0</v>
      </c>
      <c r="CY32" s="2">
        <f>SUMIF($AQ$9:$AQ$20,CS32,$BB$9:$BB$20)+SUMIF($AS$9:$AS$20,CS32,$AZ$9:$AZ$20)</f>
        <v>0</v>
      </c>
      <c r="CZ32">
        <f>CX32-CY32</f>
        <v>0</v>
      </c>
      <c r="DA32">
        <f>SUMIF(CM$8:CM$69,CS32,CN$8:CN$69)+SUMIF(CK$8:CK$69,CS32,CL$8:CL$69)</f>
        <v>0</v>
      </c>
      <c r="DB32" s="9"/>
      <c r="DC32" t="str">
        <f>IF(COUNTIF($DA$29:$DA$32,DA32)&gt;1,"dV"&amp;DA32,"")</f>
        <v>dV0</v>
      </c>
      <c r="DD32" s="56">
        <f>DA32+(SUMIF($DO$29:$DO$34,DH32,$DP$29:$DP$34)+SUMIF($DQ$29:$DQ$34,DH32,$DR$29:$DR$34))/10</f>
        <v>0</v>
      </c>
      <c r="DE32" s="47">
        <f>DF32-DG32</f>
        <v>0</v>
      </c>
      <c r="DF32" s="47">
        <f>SUMIF($DO$29:$DO$34,DH32,$DS$29:$DS$34)+SUMIF($DQ$29:$DQ$34,DH32,$DT$29:$DT$34)</f>
        <v>0</v>
      </c>
      <c r="DG32" s="47">
        <f>SUMIF($DO$29:$DO$34,DH32,$DT$29:$DT$34)+SUMIF($DQ$29:$DQ$34,DH32,$DS$29:$DS$34)</f>
        <v>0</v>
      </c>
      <c r="DH32" t="str">
        <f>CS32&amp;"dV"</f>
        <v>EnglanddV</v>
      </c>
      <c r="DJ32" s="8" t="str">
        <f t="shared" si="35"/>
        <v>Dänemark</v>
      </c>
      <c r="DK32" t="str">
        <f t="shared" si="36"/>
        <v>dV0</v>
      </c>
      <c r="DL32" t="str">
        <f t="shared" si="37"/>
        <v>England</v>
      </c>
      <c r="DM32" t="str">
        <f t="shared" si="38"/>
        <v>dV0</v>
      </c>
      <c r="DN32" s="12" t="str">
        <f t="shared" si="39"/>
        <v>0</v>
      </c>
      <c r="DO32" t="str">
        <f t="shared" si="40"/>
        <v>DänemarkdV</v>
      </c>
      <c r="DP32" t="str">
        <f t="shared" si="41"/>
        <v/>
      </c>
      <c r="DQ32" t="str">
        <f t="shared" si="42"/>
        <v>EnglanddV</v>
      </c>
      <c r="DR32" t="str">
        <f t="shared" si="43"/>
        <v/>
      </c>
      <c r="DS32">
        <f t="shared" si="44"/>
        <v>0</v>
      </c>
      <c r="DT32">
        <f t="shared" si="45"/>
        <v>0</v>
      </c>
      <c r="DZ32" s="51" t="str">
        <f t="shared" ca="1" si="0"/>
        <v>frei</v>
      </c>
      <c r="EC32" t="s">
        <v>40</v>
      </c>
      <c r="ED32" s="50">
        <v>45468.75</v>
      </c>
      <c r="EE32" t="s">
        <v>170</v>
      </c>
      <c r="EF32" t="s">
        <v>171</v>
      </c>
      <c r="EG32">
        <v>39</v>
      </c>
      <c r="EH32" t="s">
        <v>376</v>
      </c>
      <c r="EI32" t="s">
        <v>377</v>
      </c>
      <c r="EJ32">
        <v>32</v>
      </c>
      <c r="EM32" t="s">
        <v>271</v>
      </c>
      <c r="EN32" t="s">
        <v>272</v>
      </c>
    </row>
    <row r="33" spans="2:144" ht="15.95" customHeight="1" x14ac:dyDescent="0.2">
      <c r="C33" s="83" t="s">
        <v>184</v>
      </c>
      <c r="E33" s="83" t="s">
        <v>10</v>
      </c>
      <c r="T33" s="2"/>
      <c r="W33" s="83" t="s">
        <v>672</v>
      </c>
      <c r="Y33" s="83" t="s">
        <v>707</v>
      </c>
      <c r="AN33" s="2"/>
      <c r="AQ33" s="83" t="s">
        <v>5</v>
      </c>
      <c r="AS33" s="83" t="s">
        <v>8</v>
      </c>
      <c r="BH33" s="2"/>
      <c r="BJ33" s="62"/>
      <c r="BK33" s="62"/>
      <c r="BL33" s="62"/>
      <c r="BM33" s="62"/>
      <c r="BN33" s="62"/>
      <c r="BO33" s="62"/>
      <c r="BP33" s="62"/>
      <c r="BQ33" s="62"/>
      <c r="BR33" s="62"/>
      <c r="BS33" s="62"/>
      <c r="BT33" s="62"/>
      <c r="BU33" s="62"/>
      <c r="BV33" s="62"/>
      <c r="BW33" s="62"/>
      <c r="BX33" s="62"/>
      <c r="BY33" s="62"/>
      <c r="BZ33" s="62"/>
      <c r="CA33" s="62"/>
      <c r="CB33" s="62"/>
      <c r="CD33" s="2">
        <f>IF(OR(AZ13="",BB13=""),0,SUM(CF33:CH33))</f>
        <v>0</v>
      </c>
      <c r="CE33" s="11"/>
      <c r="CF33" t="str">
        <f>IF(AND(AZ13&amp;BB13=BD13&amp;BF13,BD13&amp;BF13&lt;&gt;"",AZ13&lt;&gt;"",BB13&lt;&gt;"",BD13&lt;&gt;"",BF13&lt;&gt;""),Spielregeln!$D$9,"")</f>
        <v/>
      </c>
      <c r="CG33" t="str">
        <f>IF(AND(CF33="",AZ13-BB13=BD13-BF13,BD13&amp;BF13&lt;&gt;"",AZ13&lt;&gt;"",BB13&lt;&gt;"",BD13&lt;&gt;"",BF13&lt;&gt;""),IF(OR(AND(AZ13=BB13,Spielregeln!$E$13="Tordifferenz"),AZ13&lt;&gt;BB13),Spielregeln!$D$10,""),"")</f>
        <v/>
      </c>
      <c r="CH33" t="str">
        <f>IF(OR(AZ13="",BB13="",BD13="",BF13=""),"",IF(AND(AZ13-BB13&gt;0,CF33="",CG33="",BD13-BF13&gt;0),Spielregeln!$D$11,IF(AND(AZ13-BB13=0,CF33="",CG33="",BD13-BF13=0,BD13&amp;BF13&lt;&gt;""),Spielregeln!$D$11,IF(AND(AZ13-BB13&lt;0,CF33="",CG33="",BD13-BF13&lt;0),Spielregeln!$D$11,""))))</f>
        <v/>
      </c>
      <c r="CI33" t="str">
        <f>IF(AND(AZ13&lt;&gt;"",BB13&lt;&gt;""),AQ13&amp;"x","")</f>
        <v/>
      </c>
      <c r="CJ33" t="str">
        <f>IF(AND(AZ13&lt;&gt;"",BB13&lt;&gt;""),AS13&amp;"x","")</f>
        <v/>
      </c>
      <c r="CK33" t="str">
        <f>AQ13</f>
        <v>Slowenien</v>
      </c>
      <c r="CL33" t="str">
        <f>IF(AND(AZ13&gt;BB13,AZ13&lt;&gt;"",BB13&lt;&gt;""),3,IF(AND(AZ13=BB13,AZ13&lt;&gt;"",BB13&lt;&gt;""),1,IF(OR(AZ13="",BB13=""),"",0)))</f>
        <v/>
      </c>
      <c r="CM33" t="str">
        <f>AS13</f>
        <v>Serbien</v>
      </c>
      <c r="CN33" t="str">
        <f>IF(AND(AZ13&lt;BB13,AZ13&lt;&gt;"",BB13&lt;&gt;""),3,IF(AND(AZ13=BB13,AZ13&lt;&gt;"",BB13&lt;&gt;""),1,IF(OR(AZ13="",BB13=""),"",0)))</f>
        <v/>
      </c>
      <c r="CO33" t="str">
        <f t="shared" si="46"/>
        <v>Slowenien</v>
      </c>
      <c r="CP33" t="str">
        <f t="shared" si="47"/>
        <v>Serbien</v>
      </c>
      <c r="CQ33" s="12" t="str">
        <f>IF(AZ13&gt;BB13,1,IF(AND(AZ13=BB13,AZ13&lt;&gt;"",BB13&lt;&gt;""),0,IF(AZ13&lt;BB13,2,"")))</f>
        <v/>
      </c>
      <c r="DJ33" s="8" t="str">
        <f t="shared" si="35"/>
        <v>England</v>
      </c>
      <c r="DK33" t="str">
        <f t="shared" si="36"/>
        <v>dV0</v>
      </c>
      <c r="DL33" t="str">
        <f t="shared" si="37"/>
        <v>Slowenien</v>
      </c>
      <c r="DM33" t="str">
        <f t="shared" si="38"/>
        <v>dV0</v>
      </c>
      <c r="DN33" s="12" t="str">
        <f t="shared" si="39"/>
        <v>0</v>
      </c>
      <c r="DO33" t="str">
        <f t="shared" si="40"/>
        <v>EnglanddV</v>
      </c>
      <c r="DP33" t="str">
        <f t="shared" si="41"/>
        <v/>
      </c>
      <c r="DQ33" t="str">
        <f t="shared" si="42"/>
        <v>SloweniendV</v>
      </c>
      <c r="DR33" t="str">
        <f t="shared" si="43"/>
        <v/>
      </c>
      <c r="DS33">
        <f t="shared" si="44"/>
        <v>0</v>
      </c>
      <c r="DT33">
        <f t="shared" si="45"/>
        <v>0</v>
      </c>
      <c r="DZ33" s="51" t="str">
        <f t="shared" ca="1" si="0"/>
        <v>frei</v>
      </c>
      <c r="EC33" t="s">
        <v>198</v>
      </c>
      <c r="ED33" s="50">
        <v>45469.75</v>
      </c>
      <c r="EE33" t="s">
        <v>486</v>
      </c>
      <c r="EF33" t="s">
        <v>493</v>
      </c>
      <c r="EG33">
        <v>41</v>
      </c>
      <c r="EH33" t="s">
        <v>378</v>
      </c>
      <c r="EI33" t="s">
        <v>379</v>
      </c>
      <c r="EJ33">
        <v>33</v>
      </c>
      <c r="EM33" t="s">
        <v>273</v>
      </c>
      <c r="EN33" t="s">
        <v>274</v>
      </c>
    </row>
    <row r="34" spans="2:144" x14ac:dyDescent="0.2">
      <c r="T34" s="2"/>
      <c r="AN34" s="2"/>
      <c r="BH34" s="2"/>
      <c r="BJ34" s="62"/>
      <c r="BK34" s="62"/>
      <c r="BL34" s="62"/>
      <c r="BM34" s="62"/>
      <c r="BN34" s="62"/>
      <c r="BO34" s="62"/>
      <c r="BP34" s="62"/>
      <c r="BQ34" s="62"/>
      <c r="BR34" s="62"/>
      <c r="BS34" s="62"/>
      <c r="BT34" s="62"/>
      <c r="BU34" s="62"/>
      <c r="BV34" s="62"/>
      <c r="BW34" s="62"/>
      <c r="BX34" s="62"/>
      <c r="BY34" s="62"/>
      <c r="BZ34" s="62"/>
      <c r="CA34" s="62"/>
      <c r="CB34" s="62"/>
      <c r="CD34" s="2">
        <f>IF(OR(AZ15="",BB15=""),0,SUM(CF34:CH34))</f>
        <v>0</v>
      </c>
      <c r="CE34" s="11"/>
      <c r="CF34" t="str">
        <f>IF(AND(AZ15&amp;BB15=BD15&amp;BF15,BD15&amp;BF15&lt;&gt;"",AZ15&lt;&gt;"",BB15&lt;&gt;"",BD15&lt;&gt;"",BF15&lt;&gt;""),Spielregeln!$D$9,"")</f>
        <v/>
      </c>
      <c r="CG34" t="str">
        <f>IF(AND(CF34="",AZ15-BB15=BD15-BF15,BD15&amp;BF15&lt;&gt;"",AZ15&lt;&gt;"",BB15&lt;&gt;"",BD15&lt;&gt;"",BF15&lt;&gt;""),IF(OR(AND(AZ15=BB15,Spielregeln!$E$13="Tordifferenz"),AZ15&lt;&gt;BB15),Spielregeln!$D$10,""),"")</f>
        <v/>
      </c>
      <c r="CH34" t="str">
        <f>IF(OR(AZ15="",BB15="",BD15="",BF15=""),"",IF(AND(AZ15-BB15&gt;0,CF34="",CG34="",BD15-BF15&gt;0),Spielregeln!$D$11,IF(AND(AZ15-BB15=0,CF34="",CG34="",BD15-BF15=0,BD15&amp;BF15&lt;&gt;""),Spielregeln!$D$11,IF(AND(AZ15-BB15&lt;0,CF34="",CG34="",BD15-BF15&lt;0),Spielregeln!$D$11,""))))</f>
        <v/>
      </c>
      <c r="CI34" t="str">
        <f>IF(AND(AZ15&lt;&gt;"",BB15&lt;&gt;""),AQ15&amp;"x","")</f>
        <v/>
      </c>
      <c r="CJ34" t="str">
        <f>IF(AND(AZ15&lt;&gt;"",BB15&lt;&gt;""),AS15&amp;"x","")</f>
        <v/>
      </c>
      <c r="CK34" t="str">
        <f>AQ15</f>
        <v>Dänemark</v>
      </c>
      <c r="CL34" t="str">
        <f>IF(AND(AZ15&gt;BB15,AZ15&lt;&gt;"",BB15&lt;&gt;""),3,IF(AND(AZ15=BB15,AZ15&lt;&gt;"",BB15&lt;&gt;""),1,IF(OR(AZ15="",BB15=""),"",0)))</f>
        <v/>
      </c>
      <c r="CM34" t="str">
        <f>AS15</f>
        <v>England</v>
      </c>
      <c r="CN34" t="str">
        <f>IF(AND(AZ15&lt;BB15,AZ15&lt;&gt;"",BB15&lt;&gt;""),3,IF(AND(AZ15=BB15,AZ15&lt;&gt;"",BB15&lt;&gt;""),1,IF(OR(AZ15="",BB15=""),"",0)))</f>
        <v/>
      </c>
      <c r="CO34" t="str">
        <f t="shared" si="46"/>
        <v>Dänemark</v>
      </c>
      <c r="CP34" t="str">
        <f t="shared" si="47"/>
        <v>England</v>
      </c>
      <c r="CQ34" s="12" t="str">
        <f>IF(AZ15&gt;BB15,1,IF(AND(AZ15=BB15,AZ15&lt;&gt;"",BB15&lt;&gt;""),0,IF(AZ15&lt;BB15,2,"")))</f>
        <v/>
      </c>
      <c r="DJ34" s="57" t="str">
        <f t="shared" si="35"/>
        <v>Dänemark</v>
      </c>
      <c r="DK34" s="14" t="str">
        <f t="shared" si="36"/>
        <v>dV0</v>
      </c>
      <c r="DL34" s="14" t="str">
        <f t="shared" si="37"/>
        <v>Serbien</v>
      </c>
      <c r="DM34" s="14" t="str">
        <f t="shared" si="38"/>
        <v>dV0</v>
      </c>
      <c r="DN34" s="15" t="str">
        <f t="shared" si="39"/>
        <v>0</v>
      </c>
      <c r="DO34" t="str">
        <f t="shared" si="40"/>
        <v>DänemarkdV</v>
      </c>
      <c r="DP34" t="str">
        <f t="shared" si="41"/>
        <v/>
      </c>
      <c r="DQ34" t="str">
        <f t="shared" si="42"/>
        <v>SerbiendV</v>
      </c>
      <c r="DR34" t="str">
        <f t="shared" si="43"/>
        <v/>
      </c>
      <c r="DS34">
        <f t="shared" si="44"/>
        <v>0</v>
      </c>
      <c r="DT34">
        <f t="shared" si="45"/>
        <v>0</v>
      </c>
      <c r="DZ34" s="51" t="str">
        <f t="shared" ca="1" si="0"/>
        <v>frei</v>
      </c>
      <c r="EC34" t="s">
        <v>198</v>
      </c>
      <c r="ED34" s="50">
        <v>45469.75</v>
      </c>
      <c r="EE34" t="s">
        <v>487</v>
      </c>
      <c r="EF34" t="s">
        <v>494</v>
      </c>
      <c r="EG34">
        <v>43</v>
      </c>
      <c r="EH34" t="s">
        <v>380</v>
      </c>
      <c r="EI34" t="s">
        <v>381</v>
      </c>
      <c r="EJ34">
        <v>34</v>
      </c>
      <c r="EM34" t="s">
        <v>275</v>
      </c>
      <c r="EN34" t="s">
        <v>276</v>
      </c>
    </row>
    <row r="35" spans="2:144" ht="12.75" customHeight="1" x14ac:dyDescent="0.2">
      <c r="B35" s="147"/>
      <c r="C35" s="148"/>
      <c r="D35" s="148"/>
      <c r="E35" s="148"/>
      <c r="F35" s="148"/>
      <c r="G35" s="148"/>
      <c r="H35" s="148"/>
      <c r="I35" s="148"/>
      <c r="J35" s="148"/>
      <c r="K35" s="148"/>
      <c r="L35" s="148"/>
      <c r="M35" s="148" t="s">
        <v>12</v>
      </c>
      <c r="N35" s="149"/>
      <c r="O35" s="148"/>
      <c r="P35" s="148"/>
      <c r="Q35" s="148" t="s">
        <v>23</v>
      </c>
      <c r="R35" s="149"/>
      <c r="T35" s="197" t="s">
        <v>111</v>
      </c>
      <c r="V35" s="147"/>
      <c r="W35" s="148"/>
      <c r="X35" s="148"/>
      <c r="Y35" s="148"/>
      <c r="Z35" s="148"/>
      <c r="AA35" s="148"/>
      <c r="AB35" s="148"/>
      <c r="AC35" s="148"/>
      <c r="AD35" s="148"/>
      <c r="AE35" s="148"/>
      <c r="AF35" s="148"/>
      <c r="AG35" s="148" t="s">
        <v>12</v>
      </c>
      <c r="AH35" s="148"/>
      <c r="AI35" s="148"/>
      <c r="AJ35" s="148"/>
      <c r="AK35" s="148" t="s">
        <v>23</v>
      </c>
      <c r="AL35" s="148"/>
      <c r="AN35" s="197" t="s">
        <v>111</v>
      </c>
      <c r="AP35" s="147"/>
      <c r="AQ35" s="148"/>
      <c r="AR35" s="148"/>
      <c r="AS35" s="148"/>
      <c r="AT35" s="148"/>
      <c r="AU35" s="148"/>
      <c r="AV35" s="148"/>
      <c r="AW35" s="148"/>
      <c r="AX35" s="148"/>
      <c r="AY35" s="148"/>
      <c r="AZ35" s="148"/>
      <c r="BA35" s="148" t="s">
        <v>12</v>
      </c>
      <c r="BB35" s="148"/>
      <c r="BC35" s="148"/>
      <c r="BD35" s="148"/>
      <c r="BE35" s="148" t="s">
        <v>23</v>
      </c>
      <c r="BF35" s="148"/>
      <c r="BH35" s="197" t="s">
        <v>111</v>
      </c>
      <c r="BJ35" s="59"/>
      <c r="BK35" s="60"/>
      <c r="BL35" s="60"/>
      <c r="BM35" s="60"/>
      <c r="BN35" s="60"/>
      <c r="BO35" s="60"/>
      <c r="BP35" s="60"/>
      <c r="BQ35" s="60"/>
      <c r="BR35" s="60"/>
      <c r="BS35" s="60"/>
      <c r="BT35" s="60"/>
      <c r="BU35" s="60"/>
      <c r="BV35" s="60"/>
      <c r="BW35" s="60"/>
      <c r="BX35" s="60"/>
      <c r="BY35" s="60"/>
      <c r="BZ35" s="60"/>
      <c r="CA35" s="61"/>
      <c r="CB35" s="63"/>
      <c r="CD35" s="2">
        <f>IF(OR(AZ17="",BB17=""),0,SUM(CF35:CH35))</f>
        <v>0</v>
      </c>
      <c r="CE35" s="11"/>
      <c r="CF35" t="str">
        <f>IF(AND(AZ17&amp;BB17=BD17&amp;BF17,BD17&amp;BF17&lt;&gt;"",AZ17&lt;&gt;"",BB17&lt;&gt;"",BD17&lt;&gt;"",BF17&lt;&gt;""),Spielregeln!$D$9,"")</f>
        <v/>
      </c>
      <c r="CG35" t="str">
        <f>IF(AND(CF35="",AZ17-BB17=BD17-BF17,BD17&amp;BF17&lt;&gt;"",AZ17&lt;&gt;"",BB17&lt;&gt;"",BD17&lt;&gt;"",BF17&lt;&gt;""),IF(OR(AND(AZ17=BB17,Spielregeln!$E$13="Tordifferenz"),AZ17&lt;&gt;BB17),Spielregeln!$D$10,""),"")</f>
        <v/>
      </c>
      <c r="CH35" t="str">
        <f>IF(OR(AZ17="",BB17="",BD17="",BF17=""),"",IF(AND(AZ17-BB17&gt;0,CF35="",CG35="",BD17-BF17&gt;0),Spielregeln!$D$11,IF(AND(AZ17-BB17=0,CF35="",CG35="",BD17-BF17=0,BD17&amp;BF17&lt;&gt;""),Spielregeln!$D$11,IF(AND(AZ17-BB17&lt;0,CF35="",CG35="",BD17-BF17&lt;0),Spielregeln!$D$11,""))))</f>
        <v/>
      </c>
      <c r="CI35" t="str">
        <f>IF(AND(AZ17&lt;&gt;"",BB17&lt;&gt;""),AQ17&amp;"x","")</f>
        <v/>
      </c>
      <c r="CJ35" t="str">
        <f>IF(AND(AZ17&lt;&gt;"",BB17&lt;&gt;""),AS17&amp;"x","")</f>
        <v/>
      </c>
      <c r="CK35" t="str">
        <f>AQ17</f>
        <v>England</v>
      </c>
      <c r="CL35" t="str">
        <f>IF(AND(AZ17&gt;BB17,AZ17&lt;&gt;"",BB17&lt;&gt;""),3,IF(AND(AZ17=BB17,AZ17&lt;&gt;"",BB17&lt;&gt;""),1,IF(OR(AZ17="",BB17=""),"",0)))</f>
        <v/>
      </c>
      <c r="CM35" t="str">
        <f>AS17</f>
        <v>Slowenien</v>
      </c>
      <c r="CN35" t="str">
        <f>IF(AND(AZ17&lt;BB17,AZ17&lt;&gt;"",BB17&lt;&gt;""),3,IF(AND(AZ17=BB17,AZ17&lt;&gt;"",BB17&lt;&gt;""),1,IF(OR(AZ17="",BB17=""),"",0)))</f>
        <v/>
      </c>
      <c r="CO35" t="str">
        <f t="shared" si="46"/>
        <v>England</v>
      </c>
      <c r="CP35" t="str">
        <f t="shared" si="47"/>
        <v>Slowenien</v>
      </c>
      <c r="CQ35" s="12" t="str">
        <f>IF(AZ17&gt;BB17,1,IF(AND(AZ17=BB17,AZ17&lt;&gt;"",BB17&lt;&gt;""),0,IF(AZ17&lt;BB17,2,"")))</f>
        <v/>
      </c>
      <c r="CR35" t="s">
        <v>42</v>
      </c>
      <c r="DZ35" s="51" t="str">
        <f t="shared" ca="1" si="0"/>
        <v>frei</v>
      </c>
      <c r="EC35" t="s">
        <v>98</v>
      </c>
      <c r="ED35" s="50">
        <v>45469.875</v>
      </c>
      <c r="EE35" t="s">
        <v>500</v>
      </c>
      <c r="EF35" t="s">
        <v>507</v>
      </c>
      <c r="EG35">
        <v>45</v>
      </c>
      <c r="EH35" t="s">
        <v>382</v>
      </c>
      <c r="EI35" t="s">
        <v>383</v>
      </c>
      <c r="EJ35">
        <v>35</v>
      </c>
      <c r="EM35" t="s">
        <v>277</v>
      </c>
      <c r="EN35" t="s">
        <v>278</v>
      </c>
    </row>
    <row r="36" spans="2:144" ht="12.75" customHeight="1" x14ac:dyDescent="0.2">
      <c r="T36" s="197"/>
      <c r="AN36" s="197"/>
      <c r="BH36" s="197"/>
      <c r="BJ36" s="62"/>
      <c r="BK36" s="62"/>
      <c r="BL36" s="62"/>
      <c r="BM36" s="62"/>
      <c r="BN36" s="62"/>
      <c r="BO36" s="62"/>
      <c r="BP36" s="62"/>
      <c r="BQ36" s="62"/>
      <c r="BR36" s="62"/>
      <c r="BS36" s="62"/>
      <c r="BT36" s="62"/>
      <c r="BU36" s="62"/>
      <c r="BV36" s="62"/>
      <c r="BW36" s="62"/>
      <c r="BX36" s="62"/>
      <c r="BY36" s="62"/>
      <c r="BZ36" s="62"/>
      <c r="CA36" s="62"/>
      <c r="CB36" s="63"/>
      <c r="CD36" s="2">
        <f>IF(OR(AZ19="",BB19=""),0,SUM(CF36:CH36))</f>
        <v>0</v>
      </c>
      <c r="CE36" s="13"/>
      <c r="CF36" s="14" t="str">
        <f>IF(AND(AZ19&amp;BB19=BD19&amp;BF19,BD19&amp;BF19&lt;&gt;"",AZ19&lt;&gt;"",BB19&lt;&gt;"",BD19&lt;&gt;"",BF19&lt;&gt;""),Spielregeln!$D$9,"")</f>
        <v/>
      </c>
      <c r="CG36" s="14" t="str">
        <f>IF(AND(CF36="",AZ19-BB19=BD19-BF19,BD19&amp;BF19&lt;&gt;"",AZ19&lt;&gt;"",BB19&lt;&gt;"",BD19&lt;&gt;"",BF19&lt;&gt;""),IF(OR(AND(AZ19=BB19,Spielregeln!$E$13="Tordifferenz"),AZ19&lt;&gt;BB19),Spielregeln!$D$10,""),"")</f>
        <v/>
      </c>
      <c r="CH36" s="14" t="str">
        <f>IF(OR(AZ19="",BB19="",BD19="",BF19=""),"",IF(AND(AZ19-BB19&gt;0,CF36="",CG36="",BD19-BF19&gt;0),Spielregeln!$D$11,IF(AND(AZ19-BB19=0,CF36="",CG36="",BD19-BF19=0,BD19&amp;BF19&lt;&gt;""),Spielregeln!$D$11,IF(AND(AZ19-BB19&lt;0,CF36="",CG36="",BD19-BF19&lt;0),Spielregeln!$D$11,""))))</f>
        <v/>
      </c>
      <c r="CI36" s="14" t="str">
        <f>IF(AND(AZ19&lt;&gt;"",BB19&lt;&gt;""),AQ19&amp;"x","")</f>
        <v/>
      </c>
      <c r="CJ36" s="14" t="str">
        <f>IF(AND(AZ19&lt;&gt;"",BB19&lt;&gt;""),AS19&amp;"x","")</f>
        <v/>
      </c>
      <c r="CK36" s="14" t="str">
        <f>AQ19</f>
        <v>Dänemark</v>
      </c>
      <c r="CL36" s="14" t="str">
        <f>IF(AND(AZ19&gt;BB19,AZ19&lt;&gt;"",BB19&lt;&gt;""),3,IF(AND(AZ19=BB19,AZ19&lt;&gt;"",BB19&lt;&gt;""),1,IF(OR(AZ19="",BB19=""),"",0)))</f>
        <v/>
      </c>
      <c r="CM36" s="14" t="str">
        <f>AS19</f>
        <v>Serbien</v>
      </c>
      <c r="CN36" s="14" t="str">
        <f>IF(AND(AZ19&lt;BB19,AZ19&lt;&gt;"",BB19&lt;&gt;""),3,IF(AND(AZ19=BB19,AZ19&lt;&gt;"",BB19&lt;&gt;""),1,IF(OR(AZ19="",BB19=""),"",0)))</f>
        <v/>
      </c>
      <c r="CO36" s="14" t="str">
        <f t="shared" si="46"/>
        <v>Dänemark</v>
      </c>
      <c r="CP36" s="14" t="str">
        <f t="shared" si="47"/>
        <v>Serbien</v>
      </c>
      <c r="CQ36" s="15" t="str">
        <f>IF(AZ19&gt;BB19,1,IF(AND(AZ19=BB19,AZ19&lt;&gt;"",BB19&lt;&gt;""),0,IF(AZ19&lt;BB19,2,"")))</f>
        <v/>
      </c>
      <c r="CR36" s="37" t="str">
        <f t="shared" ref="CR36:CR43" si="48">IF(AE86&lt;&gt;"",COUNTIF($X$86:$X$93,AE86),"")</f>
        <v/>
      </c>
      <c r="DZ36" s="51" t="str">
        <f t="shared" ca="1" si="0"/>
        <v>frei</v>
      </c>
      <c r="EC36" s="14" t="s">
        <v>98</v>
      </c>
      <c r="ED36" s="50">
        <v>45469.875</v>
      </c>
      <c r="EE36" s="14" t="s">
        <v>501</v>
      </c>
      <c r="EF36" s="14" t="s">
        <v>508</v>
      </c>
      <c r="EG36" s="14">
        <v>47</v>
      </c>
      <c r="EH36" t="s">
        <v>384</v>
      </c>
      <c r="EI36" t="s">
        <v>385</v>
      </c>
      <c r="EJ36">
        <v>36</v>
      </c>
      <c r="EM36" s="14" t="s">
        <v>279</v>
      </c>
      <c r="EN36" s="14" t="s">
        <v>280</v>
      </c>
    </row>
    <row r="37" spans="2:144" ht="15.95" customHeight="1" x14ac:dyDescent="0.2">
      <c r="C37" s="83" t="s">
        <v>706</v>
      </c>
      <c r="E37" s="83" t="s">
        <v>510</v>
      </c>
      <c r="K37" s="48" t="str">
        <f>C37&amp;E37</f>
        <v>PolenNiederlande</v>
      </c>
      <c r="L37" s="194"/>
      <c r="M37" s="2" t="s">
        <v>20</v>
      </c>
      <c r="N37" s="194"/>
      <c r="O37" s="2"/>
      <c r="P37" s="195"/>
      <c r="Q37" s="2" t="s">
        <v>20</v>
      </c>
      <c r="R37" s="195"/>
      <c r="T37" s="197">
        <f>CD42</f>
        <v>0</v>
      </c>
      <c r="W37" s="83" t="s">
        <v>672</v>
      </c>
      <c r="Y37" s="83" t="s">
        <v>707</v>
      </c>
      <c r="AE37" s="48" t="str">
        <f>W37&amp;Y37</f>
        <v>RumänienUkraine</v>
      </c>
      <c r="AF37" s="194"/>
      <c r="AG37" s="2" t="s">
        <v>20</v>
      </c>
      <c r="AH37" s="194"/>
      <c r="AI37" s="2"/>
      <c r="AJ37" s="195"/>
      <c r="AK37" s="2" t="s">
        <v>20</v>
      </c>
      <c r="AL37" s="195"/>
      <c r="AN37" s="197">
        <f>CD53</f>
        <v>0</v>
      </c>
      <c r="AQ37" s="83" t="s">
        <v>182</v>
      </c>
      <c r="AS37" s="83" t="s">
        <v>708</v>
      </c>
      <c r="AY37" s="48" t="str">
        <f>AQ37&amp;AS37</f>
        <v>TürkeiGeorgien</v>
      </c>
      <c r="AZ37" s="194"/>
      <c r="BA37" s="2" t="s">
        <v>20</v>
      </c>
      <c r="BB37" s="194"/>
      <c r="BC37" s="2"/>
      <c r="BD37" s="195"/>
      <c r="BE37" s="2" t="s">
        <v>20</v>
      </c>
      <c r="BF37" s="195"/>
      <c r="BH37" s="197">
        <f>CD64</f>
        <v>0</v>
      </c>
      <c r="BJ37" s="62"/>
      <c r="BK37" s="62"/>
      <c r="BL37" s="62"/>
      <c r="BM37" s="62"/>
      <c r="BN37" s="62"/>
      <c r="BO37" s="62"/>
      <c r="BP37" s="62"/>
      <c r="BQ37" s="62"/>
      <c r="BR37" s="62"/>
      <c r="BS37" s="64"/>
      <c r="BT37" s="178"/>
      <c r="BU37" s="179"/>
      <c r="BV37" s="180"/>
      <c r="BW37" s="62"/>
      <c r="BX37" s="178"/>
      <c r="BY37" s="179"/>
      <c r="BZ37" s="180"/>
      <c r="CA37" s="65"/>
      <c r="CB37" s="63"/>
      <c r="CR37" s="37" t="str">
        <f t="shared" si="48"/>
        <v/>
      </c>
      <c r="DZ37" s="51" t="str">
        <f t="shared" ca="1" si="0"/>
        <v>frei</v>
      </c>
      <c r="EC37" t="s">
        <v>281</v>
      </c>
      <c r="ED37" s="50">
        <v>45472.75</v>
      </c>
      <c r="EE37" t="s">
        <v>446</v>
      </c>
      <c r="EF37" t="s">
        <v>466</v>
      </c>
      <c r="EG37">
        <v>59</v>
      </c>
      <c r="EH37" t="s">
        <v>386</v>
      </c>
      <c r="EI37" t="s">
        <v>387</v>
      </c>
      <c r="EJ37">
        <v>37</v>
      </c>
      <c r="EM37" t="s">
        <v>282</v>
      </c>
      <c r="EN37" t="s">
        <v>283</v>
      </c>
    </row>
    <row r="38" spans="2:144" ht="12.75" customHeight="1" x14ac:dyDescent="0.2">
      <c r="B38" s="36" t="s">
        <v>666</v>
      </c>
      <c r="K38" s="48"/>
      <c r="L38" s="2"/>
      <c r="N38" s="2"/>
      <c r="O38" s="2"/>
      <c r="P38" s="2"/>
      <c r="R38" s="2"/>
      <c r="T38" s="2"/>
      <c r="V38" s="36" t="s">
        <v>673</v>
      </c>
      <c r="AE38" s="48"/>
      <c r="AF38" s="2"/>
      <c r="AG38" s="2"/>
      <c r="AH38" s="2"/>
      <c r="AI38" s="2"/>
      <c r="AJ38" s="2"/>
      <c r="AK38" s="2"/>
      <c r="AL38" s="2"/>
      <c r="AN38" s="2"/>
      <c r="AP38" s="36" t="s">
        <v>679</v>
      </c>
      <c r="AY38" s="48"/>
      <c r="AZ38" s="2"/>
      <c r="BA38" s="2"/>
      <c r="BB38" s="2"/>
      <c r="BC38" s="2"/>
      <c r="BD38" s="2"/>
      <c r="BE38" s="2"/>
      <c r="BF38" s="2"/>
      <c r="BH38" s="2"/>
      <c r="BJ38" s="66"/>
      <c r="BK38" s="62"/>
      <c r="BL38" s="62"/>
      <c r="BM38" s="62"/>
      <c r="BN38" s="62"/>
      <c r="BO38" s="62"/>
      <c r="BP38" s="62"/>
      <c r="BQ38" s="62"/>
      <c r="BR38" s="62"/>
      <c r="BS38" s="64"/>
      <c r="BT38" s="62"/>
      <c r="BU38" s="179"/>
      <c r="BV38" s="65"/>
      <c r="BW38" s="62"/>
      <c r="BX38" s="62"/>
      <c r="BY38" s="179"/>
      <c r="BZ38" s="65"/>
      <c r="CA38" s="65"/>
      <c r="CB38" s="62"/>
      <c r="CR38" s="37" t="str">
        <f t="shared" si="48"/>
        <v/>
      </c>
      <c r="CS38" t="s">
        <v>3</v>
      </c>
      <c r="CX38" s="2"/>
      <c r="CY38" s="2"/>
      <c r="DZ38" s="51" t="str">
        <f t="shared" ca="1" si="0"/>
        <v>frei</v>
      </c>
      <c r="EC38" t="s">
        <v>281</v>
      </c>
      <c r="ED38" s="50">
        <v>45472.875</v>
      </c>
      <c r="EE38" t="s">
        <v>447</v>
      </c>
      <c r="EF38" t="s">
        <v>467</v>
      </c>
      <c r="EG38">
        <v>62</v>
      </c>
      <c r="EH38" t="s">
        <v>388</v>
      </c>
      <c r="EI38" t="s">
        <v>389</v>
      </c>
      <c r="EJ38">
        <v>38</v>
      </c>
      <c r="EM38" t="s">
        <v>284</v>
      </c>
      <c r="EN38" t="s">
        <v>285</v>
      </c>
    </row>
    <row r="39" spans="2:144" ht="15.95" customHeight="1" x14ac:dyDescent="0.2">
      <c r="C39" s="83" t="s">
        <v>184</v>
      </c>
      <c r="E39" t="s">
        <v>10</v>
      </c>
      <c r="K39" s="48" t="str">
        <f t="shared" ref="K39" si="49">C39&amp;E39</f>
        <v>ÖsterreichFrankreich</v>
      </c>
      <c r="L39" s="194"/>
      <c r="M39" s="2" t="s">
        <v>20</v>
      </c>
      <c r="N39" s="194"/>
      <c r="O39" s="2"/>
      <c r="P39" s="195"/>
      <c r="Q39" s="2" t="s">
        <v>20</v>
      </c>
      <c r="R39" s="195"/>
      <c r="T39" s="197">
        <f>CD43</f>
        <v>0</v>
      </c>
      <c r="W39" s="83" t="s">
        <v>183</v>
      </c>
      <c r="Y39" s="83" t="s">
        <v>181</v>
      </c>
      <c r="AE39" s="48" t="str">
        <f t="shared" ref="AE39" si="50">W39&amp;Y39</f>
        <v>BelgienSlowakei</v>
      </c>
      <c r="AF39" s="194"/>
      <c r="AG39" s="2" t="s">
        <v>20</v>
      </c>
      <c r="AH39" s="194"/>
      <c r="AI39" s="2"/>
      <c r="AJ39" s="195"/>
      <c r="AK39" s="2" t="s">
        <v>20</v>
      </c>
      <c r="AL39" s="195"/>
      <c r="AN39" s="197">
        <f>CD54</f>
        <v>0</v>
      </c>
      <c r="AQ39" s="83" t="s">
        <v>5</v>
      </c>
      <c r="AS39" s="83" t="s">
        <v>8</v>
      </c>
      <c r="AY39" s="48" t="str">
        <f t="shared" ref="AY39" si="51">AQ39&amp;AS39</f>
        <v>PortugalTschechien</v>
      </c>
      <c r="AZ39" s="194"/>
      <c r="BA39" s="2" t="s">
        <v>20</v>
      </c>
      <c r="BB39" s="194"/>
      <c r="BC39" s="2"/>
      <c r="BD39" s="195"/>
      <c r="BE39" s="2" t="s">
        <v>20</v>
      </c>
      <c r="BF39" s="195"/>
      <c r="BH39" s="197">
        <f>CD65</f>
        <v>0</v>
      </c>
      <c r="BJ39" s="62"/>
      <c r="BK39" s="62"/>
      <c r="BL39" s="62"/>
      <c r="BM39" s="62"/>
      <c r="BN39" s="62"/>
      <c r="BO39" s="62"/>
      <c r="BP39" s="62"/>
      <c r="BQ39" s="62"/>
      <c r="BR39" s="62"/>
      <c r="BS39" s="64"/>
      <c r="BT39" s="178"/>
      <c r="BU39" s="179"/>
      <c r="BV39" s="180"/>
      <c r="BW39" s="62"/>
      <c r="BX39" s="178"/>
      <c r="BY39" s="179"/>
      <c r="BZ39" s="180"/>
      <c r="CA39" s="65"/>
      <c r="CB39" s="63"/>
      <c r="CD39" s="2"/>
      <c r="CE39" s="85" t="s">
        <v>3</v>
      </c>
      <c r="CF39" s="209" t="s">
        <v>36</v>
      </c>
      <c r="CG39" s="209"/>
      <c r="CH39" s="209"/>
      <c r="CI39" s="6"/>
      <c r="CJ39" s="6"/>
      <c r="CK39" s="6"/>
      <c r="CL39" s="6"/>
      <c r="CM39" s="6"/>
      <c r="CN39" s="6"/>
      <c r="CO39" s="6"/>
      <c r="CP39" s="6"/>
      <c r="CQ39" s="7"/>
      <c r="CR39" s="37" t="str">
        <f t="shared" si="48"/>
        <v/>
      </c>
      <c r="CS39" t="s">
        <v>34</v>
      </c>
      <c r="CT39" t="s">
        <v>30</v>
      </c>
      <c r="CU39" t="s">
        <v>31</v>
      </c>
      <c r="CV39" t="s">
        <v>32</v>
      </c>
      <c r="CW39" t="s">
        <v>33</v>
      </c>
      <c r="CX39" s="4" t="s">
        <v>22</v>
      </c>
      <c r="CY39" s="2" t="s">
        <v>112</v>
      </c>
      <c r="CZ39" t="s">
        <v>25</v>
      </c>
      <c r="DA39" t="s">
        <v>21</v>
      </c>
      <c r="DB39" s="9" t="s">
        <v>121</v>
      </c>
      <c r="DC39" t="s">
        <v>113</v>
      </c>
      <c r="DD39" t="s">
        <v>117</v>
      </c>
      <c r="DE39" t="s">
        <v>118</v>
      </c>
      <c r="DF39" t="s">
        <v>119</v>
      </c>
      <c r="DG39" t="s">
        <v>120</v>
      </c>
      <c r="DH39" t="s">
        <v>34</v>
      </c>
      <c r="DJ39" s="55" t="s">
        <v>116</v>
      </c>
      <c r="DK39" s="6"/>
      <c r="DL39" s="6"/>
      <c r="DM39" s="6"/>
      <c r="DN39" s="7" t="s">
        <v>115</v>
      </c>
      <c r="DP39" t="s">
        <v>21</v>
      </c>
      <c r="DR39" t="s">
        <v>21</v>
      </c>
      <c r="DS39" t="s">
        <v>22</v>
      </c>
      <c r="DT39" t="s">
        <v>22</v>
      </c>
      <c r="DZ39" s="51" t="str">
        <f t="shared" ca="1" si="0"/>
        <v>frei</v>
      </c>
      <c r="EC39" t="s">
        <v>281</v>
      </c>
      <c r="ED39" s="50">
        <v>45473.75</v>
      </c>
      <c r="EE39" t="s">
        <v>448</v>
      </c>
      <c r="EF39" t="s">
        <v>468</v>
      </c>
      <c r="EG39">
        <v>65</v>
      </c>
      <c r="EH39" t="s">
        <v>390</v>
      </c>
      <c r="EI39" t="s">
        <v>391</v>
      </c>
      <c r="EJ39">
        <v>39</v>
      </c>
      <c r="EM39" t="s">
        <v>286</v>
      </c>
      <c r="EN39" t="s">
        <v>287</v>
      </c>
    </row>
    <row r="40" spans="2:144" ht="12.75" customHeight="1" x14ac:dyDescent="0.2">
      <c r="B40" s="36" t="s">
        <v>667</v>
      </c>
      <c r="K40" s="48"/>
      <c r="L40" s="2"/>
      <c r="N40" s="2"/>
      <c r="O40" s="2"/>
      <c r="P40" s="2"/>
      <c r="R40" s="2"/>
      <c r="T40" s="2"/>
      <c r="V40" s="36" t="s">
        <v>674</v>
      </c>
      <c r="AE40" s="48"/>
      <c r="AF40" s="2"/>
      <c r="AG40" s="2"/>
      <c r="AH40" s="2"/>
      <c r="AI40" s="2"/>
      <c r="AJ40" s="2"/>
      <c r="AK40" s="2"/>
      <c r="AL40" s="2"/>
      <c r="AN40" s="2"/>
      <c r="AP40" s="36" t="s">
        <v>680</v>
      </c>
      <c r="AY40" s="48"/>
      <c r="AZ40" s="2"/>
      <c r="BA40" s="2"/>
      <c r="BB40" s="2"/>
      <c r="BC40" s="2"/>
      <c r="BD40" s="2"/>
      <c r="BE40" s="2"/>
      <c r="BF40" s="2"/>
      <c r="BH40" s="2"/>
      <c r="BJ40" s="66"/>
      <c r="BK40" s="62"/>
      <c r="BL40" s="62"/>
      <c r="BM40" s="62"/>
      <c r="BN40" s="62"/>
      <c r="BO40" s="62"/>
      <c r="BP40" s="62"/>
      <c r="BQ40" s="62"/>
      <c r="BR40" s="62"/>
      <c r="BS40" s="64"/>
      <c r="BT40" s="62"/>
      <c r="BU40" s="179"/>
      <c r="BV40" s="65"/>
      <c r="BW40" s="62"/>
      <c r="BX40" s="62"/>
      <c r="BY40" s="179"/>
      <c r="BZ40" s="65"/>
      <c r="CA40" s="65"/>
      <c r="CB40" s="62"/>
      <c r="CD40" s="2" t="s">
        <v>97</v>
      </c>
      <c r="CE40" s="8"/>
      <c r="CF40" s="9" t="s">
        <v>12</v>
      </c>
      <c r="CG40" s="9" t="s">
        <v>25</v>
      </c>
      <c r="CH40" s="9" t="s">
        <v>26</v>
      </c>
      <c r="CI40" s="206" t="s">
        <v>27</v>
      </c>
      <c r="CJ40" s="206"/>
      <c r="CK40" s="207" t="s">
        <v>35</v>
      </c>
      <c r="CL40" s="207"/>
      <c r="CM40" s="207"/>
      <c r="CN40" s="207"/>
      <c r="CO40" s="208" t="s">
        <v>28</v>
      </c>
      <c r="CP40" s="208"/>
      <c r="CQ40" s="10" t="s">
        <v>29</v>
      </c>
      <c r="CR40" s="37" t="str">
        <f t="shared" si="48"/>
        <v/>
      </c>
      <c r="CS40" s="86" t="s">
        <v>706</v>
      </c>
      <c r="CT40">
        <f>COUNTIF(CI$8:CJ$69,CS40&amp;"x")</f>
        <v>0</v>
      </c>
      <c r="CU40">
        <f>COUNTIF(CO$8:CP$69,CS40&amp;3)</f>
        <v>0</v>
      </c>
      <c r="CV40">
        <f>COUNTIF(CO$8:CP$69,CS40&amp;1)</f>
        <v>0</v>
      </c>
      <c r="CW40">
        <f>COUNTIF(CO$8:CP$69,CS40&amp;0)</f>
        <v>0</v>
      </c>
      <c r="CX40" s="2">
        <f>SUMIF($C$37:$C$48,CS40,$L$37:$L$48)+SUMIF($E$37:$E$48,CS40,$N$37:$N$48)</f>
        <v>0</v>
      </c>
      <c r="CY40" s="2">
        <f>SUMIF($C$37:$C$48,CS40,$N$37:$N$48)+SUMIF($E$37:$E$48,CS40,$L$37:$L$48)</f>
        <v>0</v>
      </c>
      <c r="CZ40">
        <f>CX40-CY40</f>
        <v>0</v>
      </c>
      <c r="DA40">
        <f>SUMIF(CM$8:CM$69,CS40,CN$8:CN$69)+SUMIF(CK$8:CK$69,CS40,CL$8:CL$69)</f>
        <v>0</v>
      </c>
      <c r="DB40" s="9"/>
      <c r="DC40" t="str">
        <f>IF(COUNTIF($DA$40:$DA$43,DA40)&gt;1,"dV"&amp;DA40,"")</f>
        <v>dV0</v>
      </c>
      <c r="DD40" s="56">
        <f>DA40+(SUMIF($DO$40:$DO$45,DH40,$DP$40:$DP$45)+SUMIF($DQ$40:$DQ$45,DH40,$DR$40:$DR$45))/10</f>
        <v>0</v>
      </c>
      <c r="DE40" s="47">
        <f>DF40-DG40</f>
        <v>0</v>
      </c>
      <c r="DF40" s="47">
        <f>SUMIF($DO$40:$DO$45,DH40,$DS$40:$DS$45)+SUMIF($DQ$40:$DQ$45,DH40,$DT$40:$DT$45)</f>
        <v>0</v>
      </c>
      <c r="DG40" s="47">
        <f>SUMIF($DO$40:$DO$45,DH40,$DT$40:$DT$45)+SUMIF($DQ$40:$DQ$45,DH40,$DS$40:$DS$45)</f>
        <v>0</v>
      </c>
      <c r="DH40" t="str">
        <f>CS40&amp;"dV"</f>
        <v>PolendV</v>
      </c>
      <c r="DJ40" s="8" t="str">
        <f t="shared" ref="DJ40:DJ45" si="52">CK42</f>
        <v>Polen</v>
      </c>
      <c r="DK40" t="str">
        <f t="shared" ref="DK40:DK45" si="53">VLOOKUP(DJ40,$CS$39:$DC$43,11,FALSE)</f>
        <v>dV0</v>
      </c>
      <c r="DL40" t="str">
        <f t="shared" ref="DL40:DL45" si="54">CM42</f>
        <v>Niederlande</v>
      </c>
      <c r="DM40" t="str">
        <f t="shared" ref="DM40:DM45" si="55">VLOOKUP(DL40,$CS$39:$DC$43,11,FALSE)</f>
        <v>dV0</v>
      </c>
      <c r="DN40" s="12" t="str">
        <f t="shared" ref="DN40:DN45" si="56">IF(AND(DK40&lt;&gt;"",DM40&lt;&gt;"",DK40=DM40),RIGHT(DK40,1),"")</f>
        <v>0</v>
      </c>
      <c r="DO40" t="str">
        <f t="shared" ref="DO40:DO45" si="57">DJ40&amp;LEFT(DK40,2)</f>
        <v>PolendV</v>
      </c>
      <c r="DP40" t="str">
        <f t="shared" ref="DP40:DP45" si="58">IF(DN40&lt;&gt;"",CL42,"")</f>
        <v/>
      </c>
      <c r="DQ40" t="str">
        <f t="shared" ref="DQ40:DQ45" si="59">DL40&amp;LEFT(DM40,2)</f>
        <v>NiederlandedV</v>
      </c>
      <c r="DR40" t="str">
        <f t="shared" ref="DR40:DR45" si="60">IF(DN40&lt;&gt;"",CN42,"")</f>
        <v/>
      </c>
      <c r="DS40">
        <f>IF(DN40&lt;&gt;"",VLOOKUP(DJ40&amp;DL40,$K$37:$N$47,2,FALSE),"")</f>
        <v>0</v>
      </c>
      <c r="DT40">
        <f>IF(DN40&lt;&gt;"",VLOOKUP(DJ40&amp;DL40,$K$37:$N$47,4,FALSE),"")</f>
        <v>0</v>
      </c>
      <c r="DZ40" s="51" t="str">
        <f t="shared" ca="1" si="0"/>
        <v>frei</v>
      </c>
      <c r="EC40" t="s">
        <v>281</v>
      </c>
      <c r="ED40" s="50">
        <v>45473.875</v>
      </c>
      <c r="EE40" t="s">
        <v>449</v>
      </c>
      <c r="EF40" t="s">
        <v>469</v>
      </c>
      <c r="EG40">
        <v>68</v>
      </c>
      <c r="EH40" t="s">
        <v>392</v>
      </c>
      <c r="EI40" t="s">
        <v>393</v>
      </c>
      <c r="EJ40">
        <v>40</v>
      </c>
      <c r="EM40" t="s">
        <v>288</v>
      </c>
      <c r="EN40" t="s">
        <v>289</v>
      </c>
    </row>
    <row r="41" spans="2:144" ht="15.95" customHeight="1" x14ac:dyDescent="0.2">
      <c r="C41" s="83" t="s">
        <v>706</v>
      </c>
      <c r="E41" s="83" t="s">
        <v>184</v>
      </c>
      <c r="K41" s="48" t="str">
        <f t="shared" ref="K41" si="61">C41&amp;E41</f>
        <v>PolenÖsterreich</v>
      </c>
      <c r="L41" s="194"/>
      <c r="M41" s="2" t="s">
        <v>20</v>
      </c>
      <c r="N41" s="194"/>
      <c r="O41" s="2"/>
      <c r="P41" s="195"/>
      <c r="Q41" s="2" t="s">
        <v>20</v>
      </c>
      <c r="R41" s="195"/>
      <c r="T41" s="197">
        <f>CD44</f>
        <v>0</v>
      </c>
      <c r="W41" s="83" t="s">
        <v>181</v>
      </c>
      <c r="Y41" s="83" t="s">
        <v>707</v>
      </c>
      <c r="AE41" s="48" t="str">
        <f t="shared" ref="AE41" si="62">W41&amp;Y41</f>
        <v>SlowakeiUkraine</v>
      </c>
      <c r="AF41" s="194"/>
      <c r="AG41" s="2" t="s">
        <v>20</v>
      </c>
      <c r="AH41" s="194"/>
      <c r="AI41" s="2"/>
      <c r="AJ41" s="195"/>
      <c r="AK41" s="2" t="s">
        <v>20</v>
      </c>
      <c r="AL41" s="195"/>
      <c r="AN41" s="197">
        <f>CD55</f>
        <v>0</v>
      </c>
      <c r="AQ41" s="83" t="s">
        <v>708</v>
      </c>
      <c r="AS41" s="83" t="s">
        <v>8</v>
      </c>
      <c r="AY41" s="48" t="str">
        <f t="shared" ref="AY41" si="63">AQ41&amp;AS41</f>
        <v>GeorgienTschechien</v>
      </c>
      <c r="AZ41" s="194"/>
      <c r="BA41" s="2" t="s">
        <v>20</v>
      </c>
      <c r="BB41" s="194"/>
      <c r="BC41" s="2"/>
      <c r="BD41" s="195"/>
      <c r="BE41" s="2" t="s">
        <v>20</v>
      </c>
      <c r="BF41" s="195"/>
      <c r="BH41" s="197">
        <f>CD66</f>
        <v>0</v>
      </c>
      <c r="BJ41" s="62"/>
      <c r="BK41" s="62"/>
      <c r="BL41" s="62"/>
      <c r="BM41" s="62"/>
      <c r="BN41" s="62"/>
      <c r="BO41" s="62"/>
      <c r="BP41" s="62"/>
      <c r="BQ41" s="62"/>
      <c r="BR41" s="62"/>
      <c r="BS41" s="64"/>
      <c r="BT41" s="178"/>
      <c r="BU41" s="179"/>
      <c r="BV41" s="180"/>
      <c r="BW41" s="62"/>
      <c r="BX41" s="178"/>
      <c r="BY41" s="179"/>
      <c r="BZ41" s="180"/>
      <c r="CA41" s="65"/>
      <c r="CB41" s="63"/>
      <c r="CD41" s="2"/>
      <c r="CE41" s="11"/>
      <c r="CQ41" s="12"/>
      <c r="CR41" s="37" t="str">
        <f t="shared" si="48"/>
        <v/>
      </c>
      <c r="CS41" s="86" t="s">
        <v>510</v>
      </c>
      <c r="CT41">
        <f>COUNTIF(CI$8:CJ$69,CS41&amp;"x")</f>
        <v>0</v>
      </c>
      <c r="CU41">
        <f>COUNTIF(CO$8:CP$69,CS41&amp;3)</f>
        <v>0</v>
      </c>
      <c r="CV41">
        <f>COUNTIF(CO$8:CP$69,CS41&amp;1)</f>
        <v>0</v>
      </c>
      <c r="CW41">
        <f>COUNTIF(CO$8:CP$69,CS41&amp;0)</f>
        <v>0</v>
      </c>
      <c r="CX41" s="2">
        <f>SUMIF($C$37:$C$48,CS41,$L$37:$L$48)+SUMIF($E$37:$E$48,CS41,$N$37:$N$48)</f>
        <v>0</v>
      </c>
      <c r="CY41" s="2">
        <f>SUMIF($C$37:$C$48,CS41,$N$37:$N$48)+SUMIF($E$37:$E$48,CS41,$L$37:$L$48)</f>
        <v>0</v>
      </c>
      <c r="CZ41">
        <f>CX41-CY41</f>
        <v>0</v>
      </c>
      <c r="DA41">
        <f>SUMIF(CM$8:CM$69,CS41,CN$8:CN$69)+SUMIF(CK$8:CK$69,CS41,CL$8:CL$69)</f>
        <v>0</v>
      </c>
      <c r="DB41" s="9"/>
      <c r="DC41" t="str">
        <f>IF(COUNTIF($DA$40:$DA$43,DA41)&gt;1,"dV"&amp;DA41,"")</f>
        <v>dV0</v>
      </c>
      <c r="DD41" s="56">
        <f>DA41+(SUMIF($DO$40:$DO$45,DH41,$DP$40:$DP$45)+SUMIF($DQ$40:$DQ$45,DH41,$DR$40:$DR$45))/10</f>
        <v>0</v>
      </c>
      <c r="DE41" s="47">
        <f>DF41-DG41</f>
        <v>0</v>
      </c>
      <c r="DF41" s="47">
        <f>SUMIF($DO$40:$DO$45,DH41,$DS$40:$DS$45)+SUMIF($DQ$40:$DQ$45,DH41,$DT$40:$DT$45)</f>
        <v>0</v>
      </c>
      <c r="DG41" s="47">
        <f>SUMIF($DO$40:$DO$45,DH41,$DT$40:$DT$45)+SUMIF($DQ$40:$DQ$45,DH41,$DS$40:$DS$45)</f>
        <v>0</v>
      </c>
      <c r="DH41" t="str">
        <f>CS41&amp;"dV"</f>
        <v>NiederlandedV</v>
      </c>
      <c r="DJ41" s="8" t="str">
        <f t="shared" si="52"/>
        <v>Österreich</v>
      </c>
      <c r="DK41" t="str">
        <f t="shared" si="53"/>
        <v>dV0</v>
      </c>
      <c r="DL41" t="str">
        <f t="shared" si="54"/>
        <v>Frankreich</v>
      </c>
      <c r="DM41" t="str">
        <f t="shared" si="55"/>
        <v>dV0</v>
      </c>
      <c r="DN41" s="12" t="str">
        <f t="shared" si="56"/>
        <v>0</v>
      </c>
      <c r="DO41" t="str">
        <f t="shared" si="57"/>
        <v>ÖsterreichdV</v>
      </c>
      <c r="DP41" t="str">
        <f t="shared" si="58"/>
        <v/>
      </c>
      <c r="DQ41" t="str">
        <f t="shared" si="59"/>
        <v>FrankreichdV</v>
      </c>
      <c r="DR41" t="str">
        <f t="shared" si="60"/>
        <v/>
      </c>
      <c r="DS41">
        <f t="shared" ref="DS41:DS44" si="64">IF(DN41&lt;&gt;"",VLOOKUP(DJ41&amp;DL41,$K$37:$N$47,2,FALSE),"")</f>
        <v>0</v>
      </c>
      <c r="DT41">
        <f t="shared" ref="DT41:DT45" si="65">IF(DN41&lt;&gt;"",VLOOKUP(DJ41&amp;DL41,$K$37:$N$47,4,FALSE),"")</f>
        <v>0</v>
      </c>
      <c r="DZ41" s="51" t="str">
        <f t="shared" ca="1" si="0"/>
        <v>frei</v>
      </c>
      <c r="EC41" t="s">
        <v>281</v>
      </c>
      <c r="ED41" s="50">
        <v>45474.75</v>
      </c>
      <c r="EE41" t="s">
        <v>450</v>
      </c>
      <c r="EF41" t="s">
        <v>470</v>
      </c>
      <c r="EG41">
        <v>71</v>
      </c>
      <c r="EH41" t="s">
        <v>394</v>
      </c>
      <c r="EI41" t="s">
        <v>395</v>
      </c>
      <c r="EJ41">
        <v>41</v>
      </c>
      <c r="EM41" t="s">
        <v>290</v>
      </c>
      <c r="EN41" t="s">
        <v>291</v>
      </c>
    </row>
    <row r="42" spans="2:144" ht="12.75" customHeight="1" x14ac:dyDescent="0.2">
      <c r="B42" s="36" t="s">
        <v>668</v>
      </c>
      <c r="K42" s="48"/>
      <c r="L42" s="2"/>
      <c r="N42" s="2"/>
      <c r="O42" s="2"/>
      <c r="P42" s="2"/>
      <c r="R42" s="2"/>
      <c r="T42" s="2"/>
      <c r="V42" s="36" t="s">
        <v>675</v>
      </c>
      <c r="AE42" s="48"/>
      <c r="AF42" s="2"/>
      <c r="AG42" s="2"/>
      <c r="AH42" s="2"/>
      <c r="AI42" s="2"/>
      <c r="AJ42" s="2"/>
      <c r="AK42" s="2"/>
      <c r="AL42" s="2"/>
      <c r="AN42" s="2"/>
      <c r="AP42" s="36" t="s">
        <v>681</v>
      </c>
      <c r="AY42" s="48"/>
      <c r="AZ42" s="2"/>
      <c r="BA42" s="2"/>
      <c r="BB42" s="2"/>
      <c r="BC42" s="2"/>
      <c r="BD42" s="2"/>
      <c r="BE42" s="2"/>
      <c r="BF42" s="2"/>
      <c r="BH42" s="2"/>
      <c r="BJ42" s="66"/>
      <c r="BK42" s="62"/>
      <c r="BL42" s="62"/>
      <c r="BM42" s="62"/>
      <c r="BN42" s="62"/>
      <c r="BO42" s="62"/>
      <c r="BP42" s="62"/>
      <c r="BQ42" s="62"/>
      <c r="BR42" s="62"/>
      <c r="BS42" s="64"/>
      <c r="BT42" s="62"/>
      <c r="BU42" s="179"/>
      <c r="BV42" s="65"/>
      <c r="BW42" s="62"/>
      <c r="BX42" s="62"/>
      <c r="BY42" s="179"/>
      <c r="BZ42" s="65"/>
      <c r="CA42" s="65"/>
      <c r="CB42" s="62"/>
      <c r="CD42" s="2">
        <f>IF(OR(L37="",N37=""),0,SUM(CF42:CH42))</f>
        <v>0</v>
      </c>
      <c r="CE42" s="11"/>
      <c r="CF42" t="str">
        <f>IF(AND(L37&amp;N37=P37&amp;R37,P37&amp;R37&lt;&gt;"",L37&lt;&gt;"",N37&lt;&gt;"",P37&lt;&gt;"",R37&lt;&gt;""),Spielregeln!$D$9,"")</f>
        <v/>
      </c>
      <c r="CG42" t="str">
        <f>IF(AND(CF42="",L37-N37=P37-R37,P37&amp;R37&lt;&gt;"",L37&lt;&gt;"",N37&lt;&gt;"",P37&lt;&gt;"",R37&lt;&gt;""),IF(OR(AND(L37=N37,Spielregeln!$E$13="Tordifferenz"),L37&lt;&gt;N37),Spielregeln!$D$10,""),"")</f>
        <v/>
      </c>
      <c r="CH42" t="str">
        <f>IF(OR(L37="",N37="",P37="",R37=""),"",IF(AND(L37-N37&gt;0,CF42="",CG42="",P37-R37&gt;0),Spielregeln!$D$11,IF(AND(L37-N37=0,CF42="",CG42="",P37-R37=0,P37&amp;R37&lt;&gt;""),Spielregeln!$D$11,IF(AND(L37-N37&lt;0,CF42="",CG42="",P37-R37&lt;0),Spielregeln!$D$11,""))))</f>
        <v/>
      </c>
      <c r="CI42" t="str">
        <f>IF(AND(L37&lt;&gt;"",N37&lt;&gt;""),C37&amp;"x","")</f>
        <v/>
      </c>
      <c r="CJ42" t="str">
        <f>IF(AND(L37&lt;&gt;"",N37&lt;&gt;""),E37&amp;"x","")</f>
        <v/>
      </c>
      <c r="CK42" t="str">
        <f>C37</f>
        <v>Polen</v>
      </c>
      <c r="CL42" t="str">
        <f>IF(AND(L37&gt;N37,L37&lt;&gt;"",N37&lt;&gt;""),3,IF(AND(L37=N37,L37&lt;&gt;"",N37&lt;&gt;""),1,IF(OR(L37="",N37=""),"",0)))</f>
        <v/>
      </c>
      <c r="CM42" t="str">
        <f>E37</f>
        <v>Niederlande</v>
      </c>
      <c r="CN42" t="str">
        <f>IF(AND(L37&lt;N37,L37&lt;&gt;"",N37&lt;&gt;""),3,IF(AND(L37=N37,L37&lt;&gt;"",N37&lt;&gt;""),1,IF(OR(L37="",N37=""),"",0)))</f>
        <v/>
      </c>
      <c r="CO42" t="str">
        <f t="shared" ref="CO42:CO47" si="66">CK42&amp;CL42</f>
        <v>Polen</v>
      </c>
      <c r="CP42" t="str">
        <f t="shared" ref="CP42:CP47" si="67">CM42&amp;CN42</f>
        <v>Niederlande</v>
      </c>
      <c r="CQ42" s="12" t="str">
        <f>IF(L37&gt;N37,1,IF(AND(L37=N37,L37&lt;&gt;"",N37&lt;&gt;""),0,IF(L37&lt;N37,2,"")))</f>
        <v/>
      </c>
      <c r="CR42" s="37" t="str">
        <f t="shared" si="48"/>
        <v/>
      </c>
      <c r="CS42" s="86" t="s">
        <v>184</v>
      </c>
      <c r="CT42">
        <f>COUNTIF(CI$8:CJ$69,CS42&amp;"x")</f>
        <v>0</v>
      </c>
      <c r="CU42">
        <f>COUNTIF(CO$8:CP$69,CS42&amp;3)</f>
        <v>0</v>
      </c>
      <c r="CV42">
        <f>COUNTIF(CO$8:CP$69,CS42&amp;1)</f>
        <v>0</v>
      </c>
      <c r="CW42">
        <f>COUNTIF(CO$8:CP$69,CS42&amp;0)</f>
        <v>0</v>
      </c>
      <c r="CX42" s="2">
        <f>SUMIF($C$37:$C$48,CS42,$L$37:$L$48)+SUMIF($E$37:$E$48,CS42,$N$37:$N$48)</f>
        <v>0</v>
      </c>
      <c r="CY42" s="2">
        <f>SUMIF($C$37:$C$48,CS42,$N$37:$N$48)+SUMIF($E$37:$E$48,CS42,$L$37:$L$48)</f>
        <v>0</v>
      </c>
      <c r="CZ42">
        <f>CX42-CY42</f>
        <v>0</v>
      </c>
      <c r="DA42">
        <f>SUMIF(CM$8:CM$69,CS42,CN$8:CN$69)+SUMIF(CK$8:CK$69,CS42,CL$8:CL$69)</f>
        <v>0</v>
      </c>
      <c r="DB42" s="9"/>
      <c r="DC42" t="str">
        <f>IF(COUNTIF($DA$40:$DA$43,DA42)&gt;1,"dV"&amp;DA42,"")</f>
        <v>dV0</v>
      </c>
      <c r="DD42" s="56">
        <f>DA42+(SUMIF($DO$40:$DO$45,DH42,$DP$40:$DP$45)+SUMIF($DQ$40:$DQ$45,DH42,$DR$40:$DR$45))/10</f>
        <v>0</v>
      </c>
      <c r="DE42" s="47">
        <f>DF42-DG42</f>
        <v>0</v>
      </c>
      <c r="DF42" s="47">
        <f>SUMIF($DO$40:$DO$45,DH42,$DS$40:$DS$45)+SUMIF($DQ$40:$DQ$45,DH42,$DT$40:$DT$45)</f>
        <v>0</v>
      </c>
      <c r="DG42" s="47">
        <f>SUMIF($DO$40:$DO$45,DH42,$DT$40:$DT$45)+SUMIF($DQ$40:$DQ$45,DH42,$DS$40:$DS$45)</f>
        <v>0</v>
      </c>
      <c r="DH42" t="str">
        <f>CS42&amp;"dV"</f>
        <v>ÖsterreichdV</v>
      </c>
      <c r="DJ42" s="8" t="str">
        <f t="shared" si="52"/>
        <v>Polen</v>
      </c>
      <c r="DK42" t="str">
        <f t="shared" si="53"/>
        <v>dV0</v>
      </c>
      <c r="DL42" t="str">
        <f t="shared" si="54"/>
        <v>Österreich</v>
      </c>
      <c r="DM42" t="str">
        <f t="shared" si="55"/>
        <v>dV0</v>
      </c>
      <c r="DN42" s="12" t="str">
        <f t="shared" si="56"/>
        <v>0</v>
      </c>
      <c r="DO42" t="str">
        <f t="shared" si="57"/>
        <v>PolendV</v>
      </c>
      <c r="DP42" t="str">
        <f t="shared" si="58"/>
        <v/>
      </c>
      <c r="DQ42" t="str">
        <f t="shared" si="59"/>
        <v>ÖsterreichdV</v>
      </c>
      <c r="DR42" t="str">
        <f t="shared" si="60"/>
        <v/>
      </c>
      <c r="DS42">
        <f t="shared" si="64"/>
        <v>0</v>
      </c>
      <c r="DT42">
        <f t="shared" si="65"/>
        <v>0</v>
      </c>
      <c r="DZ42" s="51" t="str">
        <f t="shared" ca="1" si="0"/>
        <v>frei</v>
      </c>
      <c r="EC42" t="s">
        <v>281</v>
      </c>
      <c r="ED42" s="50">
        <v>45474.875</v>
      </c>
      <c r="EE42" t="s">
        <v>451</v>
      </c>
      <c r="EF42" t="s">
        <v>471</v>
      </c>
      <c r="EG42">
        <v>74</v>
      </c>
      <c r="EH42" t="s">
        <v>396</v>
      </c>
      <c r="EI42" t="s">
        <v>397</v>
      </c>
      <c r="EJ42">
        <v>42</v>
      </c>
      <c r="EM42" t="s">
        <v>292</v>
      </c>
      <c r="EN42" t="s">
        <v>293</v>
      </c>
    </row>
    <row r="43" spans="2:144" ht="15.95" customHeight="1" x14ac:dyDescent="0.2">
      <c r="C43" s="83" t="s">
        <v>510</v>
      </c>
      <c r="E43" s="83" t="s">
        <v>10</v>
      </c>
      <c r="K43" s="48" t="str">
        <f t="shared" ref="K43" si="68">C43&amp;E43</f>
        <v>NiederlandeFrankreich</v>
      </c>
      <c r="L43" s="194"/>
      <c r="M43" s="2" t="s">
        <v>20</v>
      </c>
      <c r="N43" s="194"/>
      <c r="O43" s="2"/>
      <c r="P43" s="195"/>
      <c r="Q43" s="2" t="s">
        <v>20</v>
      </c>
      <c r="R43" s="195"/>
      <c r="T43" s="197">
        <f>CD45</f>
        <v>0</v>
      </c>
      <c r="W43" s="83" t="s">
        <v>183</v>
      </c>
      <c r="Y43" s="83" t="s">
        <v>672</v>
      </c>
      <c r="AE43" s="48" t="str">
        <f t="shared" ref="AE43" si="69">W43&amp;Y43</f>
        <v>BelgienRumänien</v>
      </c>
      <c r="AF43" s="194"/>
      <c r="AG43" s="2" t="s">
        <v>20</v>
      </c>
      <c r="AH43" s="194"/>
      <c r="AI43" s="2"/>
      <c r="AJ43" s="195"/>
      <c r="AK43" s="2" t="s">
        <v>20</v>
      </c>
      <c r="AL43" s="195"/>
      <c r="AN43" s="197">
        <f>CD56</f>
        <v>0</v>
      </c>
      <c r="AQ43" s="83" t="s">
        <v>182</v>
      </c>
      <c r="AS43" s="83" t="s">
        <v>5</v>
      </c>
      <c r="AY43" s="48" t="str">
        <f t="shared" ref="AY43" si="70">AQ43&amp;AS43</f>
        <v>TürkeiPortugal</v>
      </c>
      <c r="AZ43" s="194"/>
      <c r="BA43" s="2" t="s">
        <v>20</v>
      </c>
      <c r="BB43" s="194"/>
      <c r="BC43" s="2"/>
      <c r="BD43" s="195"/>
      <c r="BE43" s="2" t="s">
        <v>20</v>
      </c>
      <c r="BF43" s="195"/>
      <c r="BH43" s="197">
        <f>CD67</f>
        <v>0</v>
      </c>
      <c r="BJ43" s="62"/>
      <c r="BK43" s="62"/>
      <c r="BL43" s="62"/>
      <c r="BM43" s="62"/>
      <c r="BN43" s="62"/>
      <c r="BO43" s="62"/>
      <c r="BP43" s="62"/>
      <c r="BQ43" s="62"/>
      <c r="BR43" s="62"/>
      <c r="BS43" s="64"/>
      <c r="BT43" s="178"/>
      <c r="BU43" s="179"/>
      <c r="BV43" s="180"/>
      <c r="BW43" s="62"/>
      <c r="BX43" s="178"/>
      <c r="BY43" s="179"/>
      <c r="BZ43" s="180"/>
      <c r="CA43" s="65"/>
      <c r="CB43" s="63"/>
      <c r="CD43" s="2">
        <f>IF(OR(L39="",N39=""),0,SUM(CF43:CH43))</f>
        <v>0</v>
      </c>
      <c r="CE43" s="11"/>
      <c r="CF43" t="str">
        <f>IF(AND(L39&amp;N39=P39&amp;R39,P39&amp;R39&lt;&gt;"",L39&lt;&gt;"",N39&lt;&gt;"",P39&lt;&gt;"",R39&lt;&gt;""),Spielregeln!$D$9,"")</f>
        <v/>
      </c>
      <c r="CG43" t="str">
        <f>IF(AND(CF43="",L39-N39=P39-R39,P39&amp;R39&lt;&gt;"",L39&lt;&gt;"",N39&lt;&gt;"",P39&lt;&gt;"",R39&lt;&gt;""),IF(OR(AND(L39=N39,Spielregeln!$E$13="Tordifferenz"),L39&lt;&gt;N39),Spielregeln!$D$10,""),"")</f>
        <v/>
      </c>
      <c r="CH43" t="str">
        <f>IF(OR(L39="",N39="",P39="",R39=""),"",IF(AND(L39-N39&gt;0,CF43="",CG43="",P39-R39&gt;0),Spielregeln!$D$11,IF(AND(L39-N39=0,CF43="",CG43="",P39-R39=0,P39&amp;R39&lt;&gt;""),Spielregeln!$D$11,IF(AND(L39-N39&lt;0,CF43="",CG43="",P39-R39&lt;0),Spielregeln!$D$11,""))))</f>
        <v/>
      </c>
      <c r="CI43" t="str">
        <f>IF(AND(L39&lt;&gt;"",N39&lt;&gt;""),C39&amp;"x","")</f>
        <v/>
      </c>
      <c r="CJ43" t="str">
        <f>IF(AND(L39&lt;&gt;"",N39&lt;&gt;""),E39&amp;"x","")</f>
        <v/>
      </c>
      <c r="CK43" t="str">
        <f>C39</f>
        <v>Österreich</v>
      </c>
      <c r="CL43" t="str">
        <f>IF(AND(L39&gt;N39,L39&lt;&gt;"",N39&lt;&gt;""),3,IF(AND(L39=N39,L39&lt;&gt;"",N39&lt;&gt;""),1,IF(OR(L39="",N39=""),"",0)))</f>
        <v/>
      </c>
      <c r="CM43" t="str">
        <f>E39</f>
        <v>Frankreich</v>
      </c>
      <c r="CN43" t="str">
        <f>IF(AND(L39&lt;N39,L39&lt;&gt;"",N39&lt;&gt;""),3,IF(AND(L39=N39,L39&lt;&gt;"",N39&lt;&gt;""),1,IF(OR(L39="",N39=""),"",0)))</f>
        <v/>
      </c>
      <c r="CO43" t="str">
        <f t="shared" si="66"/>
        <v>Österreich</v>
      </c>
      <c r="CP43" t="str">
        <f t="shared" si="67"/>
        <v>Frankreich</v>
      </c>
      <c r="CQ43" s="12" t="str">
        <f>IF(L39&gt;N39,1,IF(AND(L39=N39,L39&lt;&gt;"",N39&lt;&gt;""),0,IF(L39&lt;N39,2,"")))</f>
        <v/>
      </c>
      <c r="CR43" s="37" t="str">
        <f t="shared" si="48"/>
        <v/>
      </c>
      <c r="CS43" s="86" t="s">
        <v>10</v>
      </c>
      <c r="CT43">
        <f>COUNTIF(CI$8:CJ$69,CS43&amp;"x")</f>
        <v>0</v>
      </c>
      <c r="CU43">
        <f>COUNTIF(CO$8:CP$69,CS43&amp;3)</f>
        <v>0</v>
      </c>
      <c r="CV43">
        <f>COUNTIF(CO$8:CP$69,CS43&amp;1)</f>
        <v>0</v>
      </c>
      <c r="CW43">
        <f>COUNTIF(CO$8:CP$69,CS43&amp;0)</f>
        <v>0</v>
      </c>
      <c r="CX43" s="2">
        <f>SUMIF($C$37:$C$48,CS43,$L$37:$L$48)+SUMIF($E$37:$E$48,CS43,$N$37:$N$48)</f>
        <v>0</v>
      </c>
      <c r="CY43" s="2">
        <f>SUMIF($C$37:$C$48,CS43,$N$37:$N$48)+SUMIF($E$37:$E$48,CS43,$L$37:$L$48)</f>
        <v>0</v>
      </c>
      <c r="CZ43">
        <f>CX43-CY43</f>
        <v>0</v>
      </c>
      <c r="DA43">
        <f>SUMIF(CM$8:CM$69,CS43,CN$8:CN$69)+SUMIF(CK$8:CK$69,CS43,CL$8:CL$69)</f>
        <v>0</v>
      </c>
      <c r="DB43" s="9"/>
      <c r="DC43" t="str">
        <f>IF(COUNTIF($DA$40:$DA$43,DA43)&gt;1,"dV"&amp;DA43,"")</f>
        <v>dV0</v>
      </c>
      <c r="DD43" s="56">
        <f>DA43+(SUMIF($DO$40:$DO$45,DH43,$DP$40:$DP$45)+SUMIF($DQ$40:$DQ$45,DH43,$DR$40:$DR$45))/10</f>
        <v>0</v>
      </c>
      <c r="DE43" s="47">
        <f>DF43-DG43</f>
        <v>0</v>
      </c>
      <c r="DF43" s="47">
        <f>SUMIF($DO$40:$DO$45,DH43,$DS$40:$DS$45)+SUMIF($DQ$40:$DQ$45,DH43,$DT$40:$DT$45)</f>
        <v>0</v>
      </c>
      <c r="DG43" s="47">
        <f>SUMIF($DO$40:$DO$45,DH43,$DT$40:$DT$45)+SUMIF($DQ$40:$DQ$45,DH43,$DS$40:$DS$45)</f>
        <v>0</v>
      </c>
      <c r="DH43" t="str">
        <f>CS43&amp;"dV"</f>
        <v>FrankreichdV</v>
      </c>
      <c r="DJ43" s="8" t="str">
        <f t="shared" si="52"/>
        <v>Niederlande</v>
      </c>
      <c r="DK43" t="str">
        <f t="shared" si="53"/>
        <v>dV0</v>
      </c>
      <c r="DL43" t="str">
        <f t="shared" si="54"/>
        <v>Frankreich</v>
      </c>
      <c r="DM43" t="str">
        <f t="shared" si="55"/>
        <v>dV0</v>
      </c>
      <c r="DN43" s="12" t="str">
        <f t="shared" si="56"/>
        <v>0</v>
      </c>
      <c r="DO43" t="str">
        <f t="shared" si="57"/>
        <v>NiederlandedV</v>
      </c>
      <c r="DP43" t="str">
        <f t="shared" si="58"/>
        <v/>
      </c>
      <c r="DQ43" t="str">
        <f t="shared" si="59"/>
        <v>FrankreichdV</v>
      </c>
      <c r="DR43" t="str">
        <f t="shared" si="60"/>
        <v/>
      </c>
      <c r="DS43">
        <f t="shared" si="64"/>
        <v>0</v>
      </c>
      <c r="DT43">
        <f t="shared" si="65"/>
        <v>0</v>
      </c>
      <c r="DZ43" s="51" t="str">
        <f t="shared" ca="1" si="0"/>
        <v>frei</v>
      </c>
      <c r="EC43" t="s">
        <v>281</v>
      </c>
      <c r="ED43" s="50">
        <v>45475.75</v>
      </c>
      <c r="EE43" t="s">
        <v>452</v>
      </c>
      <c r="EF43" t="s">
        <v>472</v>
      </c>
      <c r="EG43">
        <v>77</v>
      </c>
      <c r="EH43" t="s">
        <v>398</v>
      </c>
      <c r="EI43" t="s">
        <v>399</v>
      </c>
      <c r="EJ43">
        <v>43</v>
      </c>
      <c r="EM43" t="s">
        <v>294</v>
      </c>
      <c r="EN43" t="s">
        <v>295</v>
      </c>
    </row>
    <row r="44" spans="2:144" ht="12.75" customHeight="1" x14ac:dyDescent="0.2">
      <c r="B44" s="36" t="s">
        <v>669</v>
      </c>
      <c r="K44" s="48"/>
      <c r="L44" s="2"/>
      <c r="N44" s="2"/>
      <c r="O44" s="2"/>
      <c r="P44" s="2"/>
      <c r="R44" s="2"/>
      <c r="T44" s="197"/>
      <c r="V44" s="36" t="s">
        <v>676</v>
      </c>
      <c r="AE44" s="48"/>
      <c r="AF44" s="2"/>
      <c r="AG44" s="2"/>
      <c r="AH44" s="2"/>
      <c r="AI44" s="2"/>
      <c r="AJ44" s="2"/>
      <c r="AK44" s="2"/>
      <c r="AL44" s="2"/>
      <c r="AN44" s="197"/>
      <c r="AP44" s="36" t="s">
        <v>682</v>
      </c>
      <c r="AY44" s="48"/>
      <c r="AZ44" s="2"/>
      <c r="BA44" s="2"/>
      <c r="BB44" s="2"/>
      <c r="BC44" s="2"/>
      <c r="BD44" s="2"/>
      <c r="BE44" s="2"/>
      <c r="BF44" s="2"/>
      <c r="BH44" s="197"/>
      <c r="BJ44" s="66"/>
      <c r="BK44" s="62"/>
      <c r="BL44" s="62"/>
      <c r="BM44" s="62"/>
      <c r="BN44" s="62"/>
      <c r="BO44" s="62"/>
      <c r="BP44" s="62"/>
      <c r="BQ44" s="62"/>
      <c r="BR44" s="62"/>
      <c r="BS44" s="64"/>
      <c r="BT44" s="62"/>
      <c r="BU44" s="179"/>
      <c r="BV44" s="65"/>
      <c r="BW44" s="62"/>
      <c r="BX44" s="62"/>
      <c r="BY44" s="179"/>
      <c r="BZ44" s="65"/>
      <c r="CA44" s="65"/>
      <c r="CB44" s="63"/>
      <c r="CD44" s="2">
        <f>IF(OR(L41="",N41=""),0,SUM(CF44:CH44))</f>
        <v>0</v>
      </c>
      <c r="CE44" s="11"/>
      <c r="CF44" t="str">
        <f>IF(AND(L41&amp;N41=P41&amp;R41,P41&amp;R41&lt;&gt;"",L41&lt;&gt;"",N41&lt;&gt;"",P41&lt;&gt;"",R41&lt;&gt;""),Spielregeln!$D$9,"")</f>
        <v/>
      </c>
      <c r="CG44" t="str">
        <f>IF(AND(CF44="",L41-N41=P41-R41,P41&amp;R41&lt;&gt;"",L41&lt;&gt;"",N41&lt;&gt;"",P41&lt;&gt;"",R41&lt;&gt;""),IF(OR(AND(L41=N41,Spielregeln!$E$13="Tordifferenz"),L41&lt;&gt;N41),Spielregeln!$D$10,""),"")</f>
        <v/>
      </c>
      <c r="CH44" t="str">
        <f>IF(OR(L41="",N41="",P41="",R41=""),"",IF(AND(L41-N41&gt;0,CF44="",CG44="",P41-R41&gt;0),Spielregeln!$D$11,IF(AND(L41-N41=0,CF44="",CG44="",P41-R41=0,P41&amp;R41&lt;&gt;""),Spielregeln!$D$11,IF(AND(L41-N41&lt;0,CF44="",CG44="",P41-R41&lt;0),Spielregeln!$D$11,""))))</f>
        <v/>
      </c>
      <c r="CI44" t="str">
        <f>IF(AND(L41&lt;&gt;"",N41&lt;&gt;""),C41&amp;"x","")</f>
        <v/>
      </c>
      <c r="CJ44" t="str">
        <f>IF(AND(L41&lt;&gt;"",N41&lt;&gt;""),E41&amp;"x","")</f>
        <v/>
      </c>
      <c r="CK44" t="str">
        <f>C41</f>
        <v>Polen</v>
      </c>
      <c r="CL44" t="str">
        <f>IF(AND(L41&gt;N41,L41&lt;&gt;"",N41&lt;&gt;""),3,IF(AND(L41=N41,L41&lt;&gt;"",N41&lt;&gt;""),1,IF(OR(L41="",N41=""),"",0)))</f>
        <v/>
      </c>
      <c r="CM44" t="str">
        <f>E41</f>
        <v>Österreich</v>
      </c>
      <c r="CN44" t="str">
        <f>IF(AND(L41&lt;N41,L41&lt;&gt;"",N41&lt;&gt;""),3,IF(AND(L41=N41,L41&lt;&gt;"",N41&lt;&gt;""),1,IF(OR(L41="",N41=""),"",0)))</f>
        <v/>
      </c>
      <c r="CO44" t="str">
        <f t="shared" si="66"/>
        <v>Polen</v>
      </c>
      <c r="CP44" t="str">
        <f t="shared" si="67"/>
        <v>Österreich</v>
      </c>
      <c r="CQ44" s="12" t="str">
        <f>IF(L41&gt;N41,1,IF(AND(L41=N41,L41&lt;&gt;"",N41&lt;&gt;""),0,IF(L41&lt;N41,2,"")))</f>
        <v/>
      </c>
      <c r="DF44" s="47"/>
      <c r="DG44" s="47"/>
      <c r="DJ44" s="8" t="str">
        <f t="shared" si="52"/>
        <v>Niederlande</v>
      </c>
      <c r="DK44" t="str">
        <f t="shared" si="53"/>
        <v>dV0</v>
      </c>
      <c r="DL44" t="str">
        <f t="shared" si="54"/>
        <v>Österreich</v>
      </c>
      <c r="DM44" t="str">
        <f t="shared" si="55"/>
        <v>dV0</v>
      </c>
      <c r="DN44" s="12" t="str">
        <f t="shared" si="56"/>
        <v>0</v>
      </c>
      <c r="DO44" t="str">
        <f t="shared" si="57"/>
        <v>NiederlandedV</v>
      </c>
      <c r="DP44" t="str">
        <f t="shared" si="58"/>
        <v/>
      </c>
      <c r="DQ44" t="str">
        <f t="shared" si="59"/>
        <v>ÖsterreichdV</v>
      </c>
      <c r="DR44" t="str">
        <f t="shared" si="60"/>
        <v/>
      </c>
      <c r="DS44">
        <f t="shared" si="64"/>
        <v>0</v>
      </c>
      <c r="DT44">
        <f t="shared" si="65"/>
        <v>0</v>
      </c>
      <c r="DZ44" s="51" t="str">
        <f t="shared" ca="1" si="0"/>
        <v>frei</v>
      </c>
      <c r="EC44" t="s">
        <v>281</v>
      </c>
      <c r="ED44" s="50">
        <v>45475.875</v>
      </c>
      <c r="EE44" t="s">
        <v>453</v>
      </c>
      <c r="EF44" t="s">
        <v>473</v>
      </c>
      <c r="EG44">
        <v>80</v>
      </c>
      <c r="EH44" t="s">
        <v>400</v>
      </c>
      <c r="EI44" t="s">
        <v>401</v>
      </c>
      <c r="EJ44">
        <v>44</v>
      </c>
      <c r="EM44" t="s">
        <v>296</v>
      </c>
      <c r="EN44" t="s">
        <v>297</v>
      </c>
    </row>
    <row r="45" spans="2:144" ht="15.95" customHeight="1" x14ac:dyDescent="0.2">
      <c r="C45" s="83" t="s">
        <v>510</v>
      </c>
      <c r="E45" s="83" t="s">
        <v>184</v>
      </c>
      <c r="K45" s="48" t="str">
        <f t="shared" ref="K45" si="71">C45&amp;E45</f>
        <v>NiederlandeÖsterreich</v>
      </c>
      <c r="L45" s="194"/>
      <c r="M45" s="2" t="s">
        <v>20</v>
      </c>
      <c r="N45" s="194"/>
      <c r="O45" s="2"/>
      <c r="P45" s="195"/>
      <c r="Q45" s="2" t="s">
        <v>20</v>
      </c>
      <c r="R45" s="195"/>
      <c r="T45" s="197">
        <f>CD46</f>
        <v>0</v>
      </c>
      <c r="W45" s="83" t="s">
        <v>181</v>
      </c>
      <c r="Y45" s="83" t="s">
        <v>672</v>
      </c>
      <c r="AE45" s="48" t="str">
        <f t="shared" ref="AE45" si="72">W45&amp;Y45</f>
        <v>SlowakeiRumänien</v>
      </c>
      <c r="AF45" s="194"/>
      <c r="AG45" s="2" t="s">
        <v>20</v>
      </c>
      <c r="AH45" s="194"/>
      <c r="AI45" s="2"/>
      <c r="AJ45" s="195"/>
      <c r="AK45" s="2" t="s">
        <v>20</v>
      </c>
      <c r="AL45" s="195"/>
      <c r="AN45" s="197">
        <f>CD57</f>
        <v>0</v>
      </c>
      <c r="AQ45" s="83" t="s">
        <v>708</v>
      </c>
      <c r="AS45" s="83" t="s">
        <v>5</v>
      </c>
      <c r="AY45" s="48" t="str">
        <f t="shared" ref="AY45" si="73">AQ45&amp;AS45</f>
        <v>GeorgienPortugal</v>
      </c>
      <c r="AZ45" s="194"/>
      <c r="BA45" s="2" t="s">
        <v>20</v>
      </c>
      <c r="BB45" s="194"/>
      <c r="BC45" s="2"/>
      <c r="BD45" s="195"/>
      <c r="BE45" s="2" t="s">
        <v>20</v>
      </c>
      <c r="BF45" s="195"/>
      <c r="BH45" s="197">
        <f>CD68</f>
        <v>0</v>
      </c>
      <c r="BJ45" s="62"/>
      <c r="BK45" s="62"/>
      <c r="BL45" s="62"/>
      <c r="BM45" s="62"/>
      <c r="BN45" s="62"/>
      <c r="BO45" s="62"/>
      <c r="BP45" s="62"/>
      <c r="BQ45" s="62"/>
      <c r="BR45" s="62"/>
      <c r="BS45" s="64"/>
      <c r="BT45" s="178"/>
      <c r="BU45" s="179"/>
      <c r="BV45" s="180"/>
      <c r="BW45" s="62"/>
      <c r="BX45" s="178"/>
      <c r="BY45" s="179"/>
      <c r="BZ45" s="180"/>
      <c r="CA45" s="65"/>
      <c r="CB45" s="63"/>
      <c r="CD45" s="2">
        <f>IF(OR(L43="",N43=""),0,SUM(CF45:CH45))</f>
        <v>0</v>
      </c>
      <c r="CE45" s="11"/>
      <c r="CF45" t="str">
        <f>IF(AND(L43&amp;N43=P43&amp;R43,P43&amp;R43&lt;&gt;"",L43&lt;&gt;"",N43&lt;&gt;"",P43&lt;&gt;"",R43&lt;&gt;""),Spielregeln!$D$9,"")</f>
        <v/>
      </c>
      <c r="CG45" t="str">
        <f>IF(AND(CF45="",L43-N43=P43-R43,P43&amp;R43&lt;&gt;"",L43&lt;&gt;"",N43&lt;&gt;"",P43&lt;&gt;"",R43&lt;&gt;""),IF(OR(AND(L43=N43,Spielregeln!$E$13="Tordifferenz"),L43&lt;&gt;N43),Spielregeln!$D$10,""),"")</f>
        <v/>
      </c>
      <c r="CH45" t="str">
        <f>IF(OR(L43="",N43="",P43="",R43=""),"",IF(AND(L43-N43&gt;0,CF45="",CG45="",P43-R43&gt;0),Spielregeln!$D$11,IF(AND(L43-N43=0,CF45="",CG45="",P43-R43=0,P43&amp;R43&lt;&gt;""),Spielregeln!$D$11,IF(AND(L43-N43&lt;0,CF45="",CG45="",P43-R43&lt;0),Spielregeln!$D$11,""))))</f>
        <v/>
      </c>
      <c r="CI45" t="str">
        <f>IF(AND(L43&lt;&gt;"",N43&lt;&gt;""),C43&amp;"x","")</f>
        <v/>
      </c>
      <c r="CJ45" t="str">
        <f>IF(AND(L43&lt;&gt;"",N43&lt;&gt;""),E43&amp;"x","")</f>
        <v/>
      </c>
      <c r="CK45" t="str">
        <f>C43</f>
        <v>Niederlande</v>
      </c>
      <c r="CL45" t="str">
        <f>IF(AND(L43&gt;N43,L43&lt;&gt;"",N43&lt;&gt;""),3,IF(AND(L43=N43,L43&lt;&gt;"",N43&lt;&gt;""),1,IF(OR(L43="",N43=""),"",0)))</f>
        <v/>
      </c>
      <c r="CM45" t="str">
        <f>E43</f>
        <v>Frankreich</v>
      </c>
      <c r="CN45" t="str">
        <f>IF(AND(L43&lt;N43,L43&lt;&gt;"",N43&lt;&gt;""),3,IF(AND(L43=N43,L43&lt;&gt;"",N43&lt;&gt;""),1,IF(OR(L43="",N43=""),"",0)))</f>
        <v/>
      </c>
      <c r="CO45" t="str">
        <f t="shared" si="66"/>
        <v>Niederlande</v>
      </c>
      <c r="CP45" t="str">
        <f t="shared" si="67"/>
        <v>Frankreich</v>
      </c>
      <c r="CQ45" s="12" t="str">
        <f>IF(L43&gt;N43,1,IF(AND(L43=N43,L43&lt;&gt;"",N43&lt;&gt;""),0,IF(L43&lt;N43,2,"")))</f>
        <v/>
      </c>
      <c r="DJ45" s="57" t="str">
        <f t="shared" si="52"/>
        <v>Frankreich</v>
      </c>
      <c r="DK45" s="14" t="str">
        <f t="shared" si="53"/>
        <v>dV0</v>
      </c>
      <c r="DL45" s="14" t="str">
        <f t="shared" si="54"/>
        <v>Polen</v>
      </c>
      <c r="DM45" s="14" t="str">
        <f t="shared" si="55"/>
        <v>dV0</v>
      </c>
      <c r="DN45" s="15" t="str">
        <f t="shared" si="56"/>
        <v>0</v>
      </c>
      <c r="DO45" t="str">
        <f t="shared" si="57"/>
        <v>FrankreichdV</v>
      </c>
      <c r="DP45" t="str">
        <f t="shared" si="58"/>
        <v/>
      </c>
      <c r="DQ45" t="str">
        <f t="shared" si="59"/>
        <v>PolendV</v>
      </c>
      <c r="DR45" t="str">
        <f t="shared" si="60"/>
        <v/>
      </c>
      <c r="DS45">
        <f>IF(DN45&lt;&gt;"",VLOOKUP(DJ45&amp;DL45,$K$37:$N$47,2,FALSE),"")</f>
        <v>0</v>
      </c>
      <c r="DT45">
        <f t="shared" si="65"/>
        <v>0</v>
      </c>
      <c r="DZ45" s="51" t="str">
        <f t="shared" ca="1" si="0"/>
        <v>frei</v>
      </c>
      <c r="EC45" t="s">
        <v>298</v>
      </c>
      <c r="ED45" s="50">
        <v>45478.75</v>
      </c>
      <c r="EE45" t="s">
        <v>454</v>
      </c>
      <c r="EF45" t="s">
        <v>474</v>
      </c>
      <c r="EG45">
        <v>86</v>
      </c>
      <c r="EH45" t="s">
        <v>402</v>
      </c>
      <c r="EI45" t="s">
        <v>403</v>
      </c>
      <c r="EJ45">
        <v>45</v>
      </c>
      <c r="EM45" t="s">
        <v>299</v>
      </c>
      <c r="EN45" t="s">
        <v>300</v>
      </c>
    </row>
    <row r="46" spans="2:144" ht="12.75" customHeight="1" x14ac:dyDescent="0.2">
      <c r="B46" s="36" t="s">
        <v>670</v>
      </c>
      <c r="K46" s="48"/>
      <c r="L46" s="2"/>
      <c r="N46" s="2"/>
      <c r="O46" s="2"/>
      <c r="P46" s="2"/>
      <c r="R46" s="2"/>
      <c r="T46" s="197"/>
      <c r="V46" s="36" t="s">
        <v>677</v>
      </c>
      <c r="AE46" s="48"/>
      <c r="AF46" s="2"/>
      <c r="AG46" s="2"/>
      <c r="AH46" s="2"/>
      <c r="AI46" s="2"/>
      <c r="AJ46" s="2"/>
      <c r="AK46" s="2"/>
      <c r="AL46" s="2"/>
      <c r="AN46" s="197"/>
      <c r="AP46" s="36" t="s">
        <v>683</v>
      </c>
      <c r="AY46" s="48"/>
      <c r="AZ46" s="2"/>
      <c r="BA46" s="2"/>
      <c r="BB46" s="2"/>
      <c r="BC46" s="2"/>
      <c r="BD46" s="2"/>
      <c r="BE46" s="2"/>
      <c r="BF46" s="2"/>
      <c r="BH46" s="197"/>
      <c r="BJ46" s="66"/>
      <c r="BK46" s="62"/>
      <c r="BL46" s="62"/>
      <c r="BM46" s="62"/>
      <c r="BN46" s="62"/>
      <c r="BO46" s="62"/>
      <c r="BP46" s="62"/>
      <c r="BQ46" s="62"/>
      <c r="BR46" s="62"/>
      <c r="BS46" s="64"/>
      <c r="BT46" s="62"/>
      <c r="BU46" s="179"/>
      <c r="BV46" s="65"/>
      <c r="BW46" s="62"/>
      <c r="BX46" s="62"/>
      <c r="BY46" s="179"/>
      <c r="BZ46" s="65"/>
      <c r="CA46" s="65"/>
      <c r="CB46" s="63"/>
      <c r="CD46" s="2">
        <f>IF(OR(L45="",N45=""),0,SUM(CF46:CH46))</f>
        <v>0</v>
      </c>
      <c r="CE46" s="11"/>
      <c r="CF46" t="str">
        <f>IF(AND(L45&amp;N45=P45&amp;R45,P45&amp;R45&lt;&gt;"",L45&lt;&gt;"",N45&lt;&gt;"",P45&lt;&gt;"",R45&lt;&gt;""),Spielregeln!$D$9,"")</f>
        <v/>
      </c>
      <c r="CG46" t="str">
        <f>IF(AND(CF46="",L45-N45=P45-R45,P45&amp;R45&lt;&gt;"",L45&lt;&gt;"",N45&lt;&gt;"",P45&lt;&gt;"",R45&lt;&gt;""),IF(OR(AND(L45=N45,Spielregeln!$E$13="Tordifferenz"),L45&lt;&gt;N45),Spielregeln!$D$10,""),"")</f>
        <v/>
      </c>
      <c r="CH46" t="str">
        <f>IF(OR(L45="",N45="",P45="",R45=""),"",IF(AND(L45-N45&gt;0,CF46="",CG46="",P45-R45&gt;0),Spielregeln!$D$11,IF(AND(L45-N45=0,CF46="",CG46="",P45-R45=0,P45&amp;R45&lt;&gt;""),Spielregeln!$D$11,IF(AND(L45-N45&lt;0,CF46="",CG46="",P45-R45&lt;0),Spielregeln!$D$11,""))))</f>
        <v/>
      </c>
      <c r="CI46" t="str">
        <f>IF(AND(L45&lt;&gt;"",N45&lt;&gt;""),C45&amp;"x","")</f>
        <v/>
      </c>
      <c r="CJ46" t="str">
        <f>IF(AND(L45&lt;&gt;"",N45&lt;&gt;""),E45&amp;"x","")</f>
        <v/>
      </c>
      <c r="CK46" t="str">
        <f>C45</f>
        <v>Niederlande</v>
      </c>
      <c r="CL46" t="str">
        <f>IF(AND(L45&gt;N45,L45&lt;&gt;"",N45&lt;&gt;""),3,IF(AND(L45=N45,L45&lt;&gt;"",N45&lt;&gt;""),1,IF(OR(L45="",N45=""),"",0)))</f>
        <v/>
      </c>
      <c r="CM46" t="str">
        <f>E45</f>
        <v>Österreich</v>
      </c>
      <c r="CN46" t="str">
        <f>IF(AND(L45&lt;N45,L45&lt;&gt;"",N45&lt;&gt;""),3,IF(AND(L45=N45,L45&lt;&gt;"",N45&lt;&gt;""),1,IF(OR(L45="",N45=""),"",0)))</f>
        <v/>
      </c>
      <c r="CO46" t="str">
        <f t="shared" si="66"/>
        <v>Niederlande</v>
      </c>
      <c r="CP46" t="str">
        <f t="shared" si="67"/>
        <v>Österreich</v>
      </c>
      <c r="CQ46" s="12" t="str">
        <f>IF(L45&gt;N45,1,IF(AND(L45=N45,L45&lt;&gt;"",N45&lt;&gt;""),0,IF(L45&lt;N45,2,"")))</f>
        <v/>
      </c>
      <c r="DZ46" s="51" t="str">
        <f t="shared" ca="1" si="0"/>
        <v>frei</v>
      </c>
      <c r="EC46" t="s">
        <v>298</v>
      </c>
      <c r="ED46" s="50">
        <v>45478.875</v>
      </c>
      <c r="EE46" t="s">
        <v>455</v>
      </c>
      <c r="EF46" t="s">
        <v>475</v>
      </c>
      <c r="EG46">
        <v>89</v>
      </c>
      <c r="EH46" t="s">
        <v>404</v>
      </c>
      <c r="EI46" t="s">
        <v>405</v>
      </c>
      <c r="EJ46">
        <v>46</v>
      </c>
      <c r="EM46" t="s">
        <v>301</v>
      </c>
      <c r="EN46" t="s">
        <v>302</v>
      </c>
    </row>
    <row r="47" spans="2:144" ht="15.95" customHeight="1" x14ac:dyDescent="0.2">
      <c r="C47" s="83" t="s">
        <v>10</v>
      </c>
      <c r="E47" s="83" t="s">
        <v>706</v>
      </c>
      <c r="K47" s="48" t="str">
        <f t="shared" ref="K47" si="74">C47&amp;E47</f>
        <v>FrankreichPolen</v>
      </c>
      <c r="L47" s="194"/>
      <c r="M47" s="2" t="s">
        <v>20</v>
      </c>
      <c r="N47" s="194"/>
      <c r="O47" s="2"/>
      <c r="P47" s="195"/>
      <c r="Q47" s="2" t="s">
        <v>20</v>
      </c>
      <c r="R47" s="195"/>
      <c r="T47" s="197">
        <f>CD47</f>
        <v>0</v>
      </c>
      <c r="W47" s="83" t="s">
        <v>707</v>
      </c>
      <c r="Y47" s="83" t="s">
        <v>183</v>
      </c>
      <c r="AE47" s="48" t="str">
        <f t="shared" ref="AE47" si="75">W47&amp;Y47</f>
        <v>UkraineBelgien</v>
      </c>
      <c r="AF47" s="194"/>
      <c r="AG47" s="2" t="s">
        <v>20</v>
      </c>
      <c r="AH47" s="194"/>
      <c r="AI47" s="2"/>
      <c r="AJ47" s="195"/>
      <c r="AK47" s="2" t="s">
        <v>20</v>
      </c>
      <c r="AL47" s="195"/>
      <c r="AN47" s="197">
        <f>CD58</f>
        <v>0</v>
      </c>
      <c r="AQ47" s="83" t="s">
        <v>8</v>
      </c>
      <c r="AS47" s="83" t="s">
        <v>182</v>
      </c>
      <c r="AY47" s="48" t="str">
        <f t="shared" ref="AY47" si="76">AQ47&amp;AS47</f>
        <v>TschechienTürkei</v>
      </c>
      <c r="AZ47" s="194"/>
      <c r="BA47" s="2" t="s">
        <v>20</v>
      </c>
      <c r="BB47" s="194"/>
      <c r="BC47" s="2"/>
      <c r="BD47" s="195"/>
      <c r="BE47" s="2" t="s">
        <v>20</v>
      </c>
      <c r="BF47" s="195"/>
      <c r="BH47" s="197">
        <f>CD69</f>
        <v>0</v>
      </c>
      <c r="BJ47" s="62"/>
      <c r="BK47" s="62"/>
      <c r="BL47" s="62"/>
      <c r="BM47" s="62"/>
      <c r="BN47" s="62"/>
      <c r="BO47" s="62"/>
      <c r="BP47" s="62"/>
      <c r="BQ47" s="62"/>
      <c r="BR47" s="62"/>
      <c r="BS47" s="64"/>
      <c r="BT47" s="178"/>
      <c r="BU47" s="179"/>
      <c r="BV47" s="180"/>
      <c r="BW47" s="62"/>
      <c r="BX47" s="178"/>
      <c r="BY47" s="179"/>
      <c r="BZ47" s="180"/>
      <c r="CA47" s="65"/>
      <c r="CB47" s="63"/>
      <c r="CD47" s="2">
        <f>IF(OR(L47="",N47=""),0,SUM(CF47:CH47))</f>
        <v>0</v>
      </c>
      <c r="CE47" s="13"/>
      <c r="CF47" s="14" t="str">
        <f>IF(AND(L47&amp;N47=P47&amp;R47,P47&amp;R47&lt;&gt;"",L47&lt;&gt;"",N47&lt;&gt;"",P47&lt;&gt;"",R47&lt;&gt;""),Spielregeln!$D$9,"")</f>
        <v/>
      </c>
      <c r="CG47" s="14" t="str">
        <f>IF(AND(CF47="",L47-N47=P47-R47,P47&amp;R47&lt;&gt;"",L47&lt;&gt;"",N47&lt;&gt;"",P47&lt;&gt;"",R47&lt;&gt;""),IF(OR(AND(L47=N47,Spielregeln!$E$13="Tordifferenz"),L47&lt;&gt;N47),Spielregeln!$D$10,""),"")</f>
        <v/>
      </c>
      <c r="CH47" s="14" t="str">
        <f>IF(OR(L47="",N47="",P47="",R47=""),"",IF(AND(L47-N47&gt;0,CF47="",CG47="",P47-R47&gt;0),Spielregeln!$D$11,IF(AND(L47-N47=0,CF47="",CG47="",P47-R47=0,P47&amp;R47&lt;&gt;""),Spielregeln!$D$11,IF(AND(L47-N47&lt;0,CF47="",CG47="",P47-R47&lt;0),Spielregeln!$D$11,""))))</f>
        <v/>
      </c>
      <c r="CI47" s="14" t="str">
        <f>IF(AND(L47&lt;&gt;"",N47&lt;&gt;""),C47&amp;"x","")</f>
        <v/>
      </c>
      <c r="CJ47" s="14" t="str">
        <f>IF(AND(L47&lt;&gt;"",N47&lt;&gt;""),E47&amp;"x","")</f>
        <v/>
      </c>
      <c r="CK47" s="14" t="str">
        <f>C47</f>
        <v>Frankreich</v>
      </c>
      <c r="CL47" s="14" t="str">
        <f>IF(AND(L47&gt;N47,L47&lt;&gt;"",N47&lt;&gt;""),3,IF(AND(L47=N47,L47&lt;&gt;"",N47&lt;&gt;""),1,IF(OR(L47="",N47=""),"",0)))</f>
        <v/>
      </c>
      <c r="CM47" s="14" t="str">
        <f>E47</f>
        <v>Polen</v>
      </c>
      <c r="CN47" s="14" t="str">
        <f>IF(AND(L47&lt;N47,L47&lt;&gt;"",N47&lt;&gt;""),3,IF(AND(L47=N47,L47&lt;&gt;"",N47&lt;&gt;""),1,IF(OR(L47="",N47=""),"",0)))</f>
        <v/>
      </c>
      <c r="CO47" s="14" t="str">
        <f t="shared" si="66"/>
        <v>Frankreich</v>
      </c>
      <c r="CP47" s="14" t="str">
        <f t="shared" si="67"/>
        <v>Polen</v>
      </c>
      <c r="CQ47" s="15" t="str">
        <f>IF(L47&gt;N47,1,IF(AND(L47=N47,L47&lt;&gt;"",N47&lt;&gt;""),0,IF(L47&lt;N47,2,"")))</f>
        <v/>
      </c>
      <c r="CR47" t="s">
        <v>43</v>
      </c>
      <c r="DZ47" s="51" t="str">
        <f t="shared" ca="1" si="0"/>
        <v>frei</v>
      </c>
      <c r="EC47" t="s">
        <v>298</v>
      </c>
      <c r="ED47" s="50">
        <v>45479.75</v>
      </c>
      <c r="EE47" t="s">
        <v>456</v>
      </c>
      <c r="EF47" t="s">
        <v>476</v>
      </c>
      <c r="EG47">
        <v>92</v>
      </c>
      <c r="EH47" t="s">
        <v>406</v>
      </c>
      <c r="EI47" t="s">
        <v>407</v>
      </c>
      <c r="EJ47">
        <v>47</v>
      </c>
      <c r="EM47" t="s">
        <v>303</v>
      </c>
      <c r="EN47" t="s">
        <v>304</v>
      </c>
    </row>
    <row r="48" spans="2:144" x14ac:dyDescent="0.2">
      <c r="B48" s="36" t="s">
        <v>671</v>
      </c>
      <c r="T48" s="197"/>
      <c r="V48" s="36" t="s">
        <v>678</v>
      </c>
      <c r="AG48" s="2"/>
      <c r="AN48" s="46"/>
      <c r="AP48" s="36" t="s">
        <v>684</v>
      </c>
      <c r="BA48" s="2"/>
      <c r="BH48" s="46"/>
      <c r="BJ48" s="66"/>
      <c r="BK48" s="62"/>
      <c r="BL48" s="62"/>
      <c r="BM48" s="62"/>
      <c r="BN48" s="62"/>
      <c r="BO48" s="62"/>
      <c r="BP48" s="62"/>
      <c r="BQ48" s="62"/>
      <c r="BR48" s="62"/>
      <c r="BS48" s="62"/>
      <c r="BT48" s="62"/>
      <c r="BU48" s="179"/>
      <c r="BV48" s="62"/>
      <c r="BW48" s="62"/>
      <c r="BX48" s="62"/>
      <c r="BY48" s="62"/>
      <c r="BZ48" s="62"/>
      <c r="CA48" s="62"/>
      <c r="CB48" s="63"/>
      <c r="CR48" s="37" t="str">
        <f>IF(AE97&lt;&gt;"",COUNTIF($X$97:$X$100,AE97),"")</f>
        <v/>
      </c>
      <c r="DZ48" s="51" t="str">
        <f t="shared" ca="1" si="0"/>
        <v>frei</v>
      </c>
      <c r="EC48" t="s">
        <v>298</v>
      </c>
      <c r="ED48" s="50">
        <v>45479.875</v>
      </c>
      <c r="EE48" t="s">
        <v>457</v>
      </c>
      <c r="EF48" t="s">
        <v>477</v>
      </c>
      <c r="EG48">
        <v>95</v>
      </c>
      <c r="EH48" t="s">
        <v>408</v>
      </c>
      <c r="EI48" t="s">
        <v>409</v>
      </c>
      <c r="EJ48">
        <v>48</v>
      </c>
      <c r="EM48" t="s">
        <v>305</v>
      </c>
      <c r="EN48" t="s">
        <v>306</v>
      </c>
    </row>
    <row r="49" spans="2:144" ht="13.5" customHeight="1" thickBot="1" x14ac:dyDescent="0.25">
      <c r="T49" s="197"/>
      <c r="AN49" s="46"/>
      <c r="BH49" s="46"/>
      <c r="BJ49" s="62"/>
      <c r="BK49" s="62"/>
      <c r="BL49" s="62"/>
      <c r="BM49" s="62"/>
      <c r="BN49" s="62"/>
      <c r="BO49" s="62"/>
      <c r="BP49" s="62"/>
      <c r="BQ49" s="62"/>
      <c r="BR49" s="62"/>
      <c r="BS49" s="62"/>
      <c r="BT49" s="62"/>
      <c r="BU49" s="62"/>
      <c r="BV49" s="62"/>
      <c r="BW49" s="62"/>
      <c r="BX49" s="62"/>
      <c r="BY49" s="62"/>
      <c r="BZ49" s="62"/>
      <c r="CA49" s="62"/>
      <c r="CB49" s="63"/>
      <c r="CR49" s="37" t="str">
        <f>IF(AE98&lt;&gt;"",COUNTIF($X$97:$X$100,AE98),"")</f>
        <v/>
      </c>
      <c r="CS49" s="83" t="s">
        <v>176</v>
      </c>
      <c r="CX49" s="2"/>
      <c r="CY49" s="2"/>
      <c r="DZ49" s="51" t="str">
        <f t="shared" ca="1" si="0"/>
        <v>frei</v>
      </c>
      <c r="EC49" t="s">
        <v>307</v>
      </c>
      <c r="ED49" s="50">
        <v>45482.875</v>
      </c>
      <c r="EE49" t="s">
        <v>458</v>
      </c>
      <c r="EF49" t="s">
        <v>478</v>
      </c>
      <c r="EG49">
        <v>101</v>
      </c>
      <c r="EH49" t="s">
        <v>420</v>
      </c>
      <c r="EI49" t="s">
        <v>421</v>
      </c>
      <c r="EJ49">
        <v>49</v>
      </c>
      <c r="EM49" t="s">
        <v>308</v>
      </c>
      <c r="EN49" t="s">
        <v>309</v>
      </c>
    </row>
    <row r="50" spans="2:144" ht="12.75" customHeight="1" thickBot="1" x14ac:dyDescent="0.25">
      <c r="B50" s="150" t="s">
        <v>82</v>
      </c>
      <c r="C50" s="151" t="s">
        <v>83</v>
      </c>
      <c r="D50" s="152"/>
      <c r="E50" s="152"/>
      <c r="F50" s="152" t="s">
        <v>31</v>
      </c>
      <c r="G50" s="152" t="s">
        <v>32</v>
      </c>
      <c r="H50" s="152" t="s">
        <v>81</v>
      </c>
      <c r="I50" s="153"/>
      <c r="J50" s="153"/>
      <c r="K50" s="152"/>
      <c r="L50" s="152" t="s">
        <v>22</v>
      </c>
      <c r="M50" s="152"/>
      <c r="N50" s="154"/>
      <c r="O50" s="152" t="s">
        <v>80</v>
      </c>
      <c r="P50" s="152"/>
      <c r="Q50" s="152" t="s">
        <v>21</v>
      </c>
      <c r="R50" s="155"/>
      <c r="T50" s="197"/>
      <c r="V50" s="150" t="s">
        <v>82</v>
      </c>
      <c r="W50" s="151" t="s">
        <v>83</v>
      </c>
      <c r="X50" s="152"/>
      <c r="Y50" s="152"/>
      <c r="Z50" s="152" t="s">
        <v>31</v>
      </c>
      <c r="AA50" s="152" t="s">
        <v>32</v>
      </c>
      <c r="AB50" s="152" t="s">
        <v>81</v>
      </c>
      <c r="AC50" s="153"/>
      <c r="AD50" s="153"/>
      <c r="AE50" s="152"/>
      <c r="AF50" s="152" t="s">
        <v>22</v>
      </c>
      <c r="AG50" s="152"/>
      <c r="AH50" s="154"/>
      <c r="AI50" s="152" t="s">
        <v>80</v>
      </c>
      <c r="AJ50" s="152"/>
      <c r="AK50" s="152" t="s">
        <v>21</v>
      </c>
      <c r="AL50" s="155"/>
      <c r="AN50" s="46"/>
      <c r="AP50" s="150" t="s">
        <v>82</v>
      </c>
      <c r="AQ50" s="151" t="s">
        <v>83</v>
      </c>
      <c r="AR50" s="152"/>
      <c r="AS50" s="152"/>
      <c r="AT50" s="152" t="s">
        <v>31</v>
      </c>
      <c r="AU50" s="152" t="s">
        <v>32</v>
      </c>
      <c r="AV50" s="152" t="s">
        <v>81</v>
      </c>
      <c r="AW50" s="153"/>
      <c r="AX50" s="153"/>
      <c r="AY50" s="152"/>
      <c r="AZ50" s="152" t="s">
        <v>22</v>
      </c>
      <c r="BA50" s="152"/>
      <c r="BB50" s="154"/>
      <c r="BC50" s="152" t="s">
        <v>80</v>
      </c>
      <c r="BD50" s="152"/>
      <c r="BE50" s="152" t="s">
        <v>21</v>
      </c>
      <c r="BF50" s="155"/>
      <c r="BH50" s="46"/>
      <c r="BJ50" s="67"/>
      <c r="BK50" s="68"/>
      <c r="BL50" s="69"/>
      <c r="BM50" s="69"/>
      <c r="BN50" s="69"/>
      <c r="BO50" s="69"/>
      <c r="BP50" s="69"/>
      <c r="BQ50" s="70"/>
      <c r="BR50" s="70"/>
      <c r="BS50" s="69"/>
      <c r="BT50" s="69"/>
      <c r="BU50" s="69"/>
      <c r="BV50" s="181"/>
      <c r="BW50" s="69"/>
      <c r="BX50" s="69"/>
      <c r="BY50" s="69"/>
      <c r="BZ50" s="182"/>
      <c r="CA50" s="61"/>
      <c r="CB50" s="63"/>
      <c r="CD50" s="2"/>
      <c r="CE50" s="84" t="s">
        <v>176</v>
      </c>
      <c r="CF50" s="209" t="s">
        <v>36</v>
      </c>
      <c r="CG50" s="209"/>
      <c r="CH50" s="209"/>
      <c r="CI50" s="6"/>
      <c r="CJ50" s="6"/>
      <c r="CK50" s="6"/>
      <c r="CL50" s="6"/>
      <c r="CM50" s="6"/>
      <c r="CN50" s="6"/>
      <c r="CO50" s="6"/>
      <c r="CP50" s="6"/>
      <c r="CQ50" s="7"/>
      <c r="CR50" s="37" t="str">
        <f>IF(AE99&lt;&gt;"",COUNTIF($X$97:$X$100,AE99),"")</f>
        <v/>
      </c>
      <c r="CS50" t="s">
        <v>34</v>
      </c>
      <c r="CT50" t="s">
        <v>30</v>
      </c>
      <c r="CU50" t="s">
        <v>31</v>
      </c>
      <c r="CV50" t="s">
        <v>32</v>
      </c>
      <c r="CW50" t="s">
        <v>33</v>
      </c>
      <c r="CX50" s="4" t="s">
        <v>22</v>
      </c>
      <c r="CY50" s="2" t="s">
        <v>112</v>
      </c>
      <c r="CZ50" t="s">
        <v>25</v>
      </c>
      <c r="DA50" t="s">
        <v>21</v>
      </c>
      <c r="DB50" s="9" t="s">
        <v>121</v>
      </c>
      <c r="DC50" t="s">
        <v>113</v>
      </c>
      <c r="DD50" t="s">
        <v>117</v>
      </c>
      <c r="DE50" t="s">
        <v>118</v>
      </c>
      <c r="DF50" t="s">
        <v>119</v>
      </c>
      <c r="DG50" t="s">
        <v>120</v>
      </c>
      <c r="DH50" t="s">
        <v>34</v>
      </c>
      <c r="DJ50" s="55" t="s">
        <v>116</v>
      </c>
      <c r="DK50" s="6"/>
      <c r="DL50" s="6"/>
      <c r="DM50" s="6"/>
      <c r="DN50" s="7" t="s">
        <v>115</v>
      </c>
      <c r="DP50" t="s">
        <v>21</v>
      </c>
      <c r="DR50" t="s">
        <v>21</v>
      </c>
      <c r="DS50" t="s">
        <v>22</v>
      </c>
      <c r="DT50" t="s">
        <v>22</v>
      </c>
      <c r="DZ50" s="51" t="str">
        <f t="shared" ca="1" si="0"/>
        <v>frei</v>
      </c>
      <c r="EC50" t="s">
        <v>307</v>
      </c>
      <c r="ED50" s="50">
        <v>45483.875</v>
      </c>
      <c r="EE50" t="s">
        <v>459</v>
      </c>
      <c r="EF50" t="s">
        <v>479</v>
      </c>
      <c r="EG50">
        <v>104</v>
      </c>
      <c r="EH50" t="s">
        <v>418</v>
      </c>
      <c r="EI50" t="s">
        <v>419</v>
      </c>
      <c r="EJ50">
        <v>50</v>
      </c>
      <c r="EM50" t="s">
        <v>310</v>
      </c>
      <c r="EN50" t="s">
        <v>311</v>
      </c>
    </row>
    <row r="51" spans="2:144" x14ac:dyDescent="0.2">
      <c r="B51" s="89" t="s">
        <v>13</v>
      </c>
      <c r="C51" s="90" t="str">
        <f>IF(OR($L$37="",$N$37=""),"",CS40)</f>
        <v/>
      </c>
      <c r="D51" s="90"/>
      <c r="E51" s="90"/>
      <c r="F51" s="91" t="str">
        <f>IF(OR($L$37="",$N$37=""),"",CU40)</f>
        <v/>
      </c>
      <c r="G51" s="91" t="str">
        <f>IF(OR($L$37="",$N$37=""),"",CV40)</f>
        <v/>
      </c>
      <c r="H51" s="91" t="str">
        <f>IF(OR($L$37="",$N$37=""),"",CW40)</f>
        <v/>
      </c>
      <c r="I51" s="90"/>
      <c r="J51" s="90"/>
      <c r="K51" s="90" t="str">
        <f>IF(OR($L$37="",$N$37=""),"",CX40)</f>
        <v/>
      </c>
      <c r="L51" s="91" t="s">
        <v>20</v>
      </c>
      <c r="M51" s="92" t="str">
        <f>IF(OR($L$37="",$N$37=""),"",CY40)</f>
        <v/>
      </c>
      <c r="N51" s="92"/>
      <c r="O51" s="91" t="str">
        <f>IF(OR($L$37="",$N$37=""),"",CZ40)</f>
        <v/>
      </c>
      <c r="P51" s="90"/>
      <c r="Q51" s="91" t="str">
        <f>IF(OR($L$37="",$N$37=""),"",DA40)</f>
        <v/>
      </c>
      <c r="R51" s="93"/>
      <c r="T51" s="197"/>
      <c r="V51" s="89" t="s">
        <v>13</v>
      </c>
      <c r="W51" s="90" t="str">
        <f>IF(OR($AF$37="",$AH$37=""),"",CS51)</f>
        <v/>
      </c>
      <c r="X51" s="90"/>
      <c r="Y51" s="90"/>
      <c r="Z51" s="91" t="str">
        <f>IF(OR($AF$37="",$AH$37=""),"",CU51)</f>
        <v/>
      </c>
      <c r="AA51" s="91" t="str">
        <f>IF(OR($AF$37="",$AH$37=""),"",CV51)</f>
        <v/>
      </c>
      <c r="AB51" s="91" t="str">
        <f>IF(OR($AF$37="",$AH$37=""),"",CW51)</f>
        <v/>
      </c>
      <c r="AC51" s="90"/>
      <c r="AD51" s="90"/>
      <c r="AE51" s="90" t="str">
        <f>IF(OR($AF$37="",$AH$37=""),"",CX51)</f>
        <v/>
      </c>
      <c r="AF51" s="91" t="s">
        <v>20</v>
      </c>
      <c r="AG51" s="92" t="str">
        <f>IF(OR($AF$37="",$AH$37=""),"",CY51)</f>
        <v/>
      </c>
      <c r="AH51" s="92"/>
      <c r="AI51" s="91" t="str">
        <f>IF(OR($AF$37="",$AH$37=""),"",CZ51)</f>
        <v/>
      </c>
      <c r="AJ51" s="90"/>
      <c r="AK51" s="91" t="str">
        <f>IF(OR($AF$37="",$AH$37=""),"",DA51)</f>
        <v/>
      </c>
      <c r="AL51" s="93"/>
      <c r="AN51" s="46"/>
      <c r="AP51" s="89" t="s">
        <v>13</v>
      </c>
      <c r="AQ51" s="90" t="str">
        <f>IF(OR($AZ$37="",$BB$37=""),"",CS62)</f>
        <v/>
      </c>
      <c r="AR51" s="90"/>
      <c r="AS51" s="90"/>
      <c r="AT51" s="91" t="str">
        <f>IF(OR($AZ$37="",$BB$37=""),"",CU62)</f>
        <v/>
      </c>
      <c r="AU51" s="91" t="str">
        <f>IF(OR($AZ$37="",$BB$37=""),"",CV62)</f>
        <v/>
      </c>
      <c r="AV51" s="91" t="str">
        <f>IF(OR($AZ$37="",$BB$37=""),"",CW62)</f>
        <v/>
      </c>
      <c r="AW51" s="90"/>
      <c r="AX51" s="90"/>
      <c r="AY51" s="90" t="str">
        <f>IF(OR($AZ$37="",$BB$37=""),"",CX62)</f>
        <v/>
      </c>
      <c r="AZ51" s="91" t="s">
        <v>20</v>
      </c>
      <c r="BA51" s="92" t="str">
        <f>IF(OR($AZ$37="",$BB$37=""),"",CY62)</f>
        <v/>
      </c>
      <c r="BB51" s="92"/>
      <c r="BC51" s="91" t="str">
        <f>IF(OR($AZ$37="",$BB$37=""),"",CZ62)</f>
        <v/>
      </c>
      <c r="BD51" s="90"/>
      <c r="BE51" s="91" t="str">
        <f>IF(OR($AZ$37="",$BB$37=""),"",DA62)</f>
        <v/>
      </c>
      <c r="BF51" s="93"/>
      <c r="BH51" s="46"/>
      <c r="BJ51" s="71"/>
      <c r="BK51" s="72"/>
      <c r="BL51" s="72"/>
      <c r="BM51" s="72"/>
      <c r="BN51" s="73"/>
      <c r="BO51" s="73"/>
      <c r="BP51" s="73"/>
      <c r="BQ51" s="72"/>
      <c r="BR51" s="72"/>
      <c r="BS51" s="72"/>
      <c r="BT51" s="73"/>
      <c r="BU51" s="183"/>
      <c r="BV51" s="183"/>
      <c r="BW51" s="73"/>
      <c r="BX51" s="72"/>
      <c r="BY51" s="73"/>
      <c r="BZ51" s="184"/>
      <c r="CA51" s="65"/>
      <c r="CB51" s="63"/>
      <c r="CD51" s="58" t="s">
        <v>178</v>
      </c>
      <c r="CE51" s="8"/>
      <c r="CF51" s="9" t="s">
        <v>12</v>
      </c>
      <c r="CG51" s="9" t="s">
        <v>25</v>
      </c>
      <c r="CH51" s="9" t="s">
        <v>26</v>
      </c>
      <c r="CI51" s="206" t="s">
        <v>27</v>
      </c>
      <c r="CJ51" s="206"/>
      <c r="CK51" s="207" t="s">
        <v>35</v>
      </c>
      <c r="CL51" s="207"/>
      <c r="CM51" s="207"/>
      <c r="CN51" s="207"/>
      <c r="CO51" s="208" t="s">
        <v>28</v>
      </c>
      <c r="CP51" s="208"/>
      <c r="CQ51" s="10" t="s">
        <v>29</v>
      </c>
      <c r="CR51" s="37" t="str">
        <f>IF(AE100&lt;&gt;"",COUNTIF($X$97:$X$100,AE100),"")</f>
        <v/>
      </c>
      <c r="CS51" s="86" t="s">
        <v>183</v>
      </c>
      <c r="CT51">
        <f>COUNTIF(CI$8:CJ$69,CS51&amp;"x")</f>
        <v>0</v>
      </c>
      <c r="CU51">
        <f>COUNTIF(CO$8:CP$69,CS51&amp;3)</f>
        <v>0</v>
      </c>
      <c r="CV51">
        <f>COUNTIF(CO$8:CP$69,CS51&amp;1)</f>
        <v>0</v>
      </c>
      <c r="CW51">
        <f>COUNTIF(CO$8:CP$69,CS51&amp;0)</f>
        <v>0</v>
      </c>
      <c r="CX51" s="2">
        <f>SUMIF($W$37:$W$48,CS51,$AF$37:$AF$48)+SUMIF($Y$37:$Y$48,CS51,$AH$37:$AH$48)</f>
        <v>0</v>
      </c>
      <c r="CY51" s="2">
        <f>SUMIF($W$37:$W$48,CS51,$AH$37:$AH$48)+SUMIF($Y$37:$Y$48,CS51,$AF$37:$AF$48)</f>
        <v>0</v>
      </c>
      <c r="CZ51">
        <f>CX51-CY51</f>
        <v>0</v>
      </c>
      <c r="DA51">
        <f>SUMIF(CM$8:CM$69,CS51,CN$8:CN$69)+SUMIF(CK$8:CK$69,CS51,CL$8:CL$69)</f>
        <v>0</v>
      </c>
      <c r="DB51" s="9"/>
      <c r="DC51" t="str">
        <f>IF(COUNTIF($DA$51:$DA$54,DA51)&gt;1,"dV"&amp;DA51,"")</f>
        <v>dV0</v>
      </c>
      <c r="DD51" s="56">
        <f>DA51+(SUMIF($DO$51:$DO$56,DH51,$DP$51:$DP$56)+SUMIF($DQ$51:$DQ$56,DH51,$DR$51:$DR$56))/10</f>
        <v>0</v>
      </c>
      <c r="DE51" s="47">
        <f>DF51-DG51</f>
        <v>0</v>
      </c>
      <c r="DF51" s="47">
        <f>SUMIF($DO$51:$DO$56,DH51,$DS$51:$DS$56)+SUMIF($DQ$51:$DQ$56,DH51,$DT$51:$DT$56)</f>
        <v>0</v>
      </c>
      <c r="DG51" s="47">
        <f>SUMIF($DO$51:$DO$56,DH51,$DT$51:$DT$56)+SUMIF($DQ$51:$DQ$56,DH51,$DS$51:$DS$56)</f>
        <v>0</v>
      </c>
      <c r="DH51" t="str">
        <f>CS51&amp;"dV"</f>
        <v>BelgiendV</v>
      </c>
      <c r="DJ51" s="8" t="str">
        <f t="shared" ref="DJ51:DJ56" si="77">CK53</f>
        <v>Rumänien</v>
      </c>
      <c r="DK51" t="str">
        <f>VLOOKUP(DJ51,$CS$50:$DC$54,11,FALSE)</f>
        <v>dV0</v>
      </c>
      <c r="DL51" t="str">
        <f>CM53</f>
        <v>Ukraine</v>
      </c>
      <c r="DM51" t="str">
        <f>VLOOKUP(DL51,$CS$50:$DC$54,11,FALSE)</f>
        <v>dV0</v>
      </c>
      <c r="DN51" s="12" t="str">
        <f t="shared" ref="DN51:DN56" si="78">IF(AND(DK51&lt;&gt;"",DM51&lt;&gt;"",DK51=DM51),RIGHT(DK51,1),"")</f>
        <v>0</v>
      </c>
      <c r="DO51" t="str">
        <f>DJ51&amp;LEFT(DK51,2)</f>
        <v>RumäniendV</v>
      </c>
      <c r="DP51" t="str">
        <f>IF(DN51&lt;&gt;"",CL53,"")</f>
        <v/>
      </c>
      <c r="DQ51" t="str">
        <f>DL51&amp;LEFT(DM51,2)</f>
        <v>UkrainedV</v>
      </c>
      <c r="DR51" t="str">
        <f>IF(DN51&lt;&gt;"",CN53,"")</f>
        <v/>
      </c>
      <c r="DS51">
        <f>IF(DN51&lt;&gt;"",VLOOKUP(DJ51&amp;DL51,$AE$37:$AH$47,2,FALSE),"")</f>
        <v>0</v>
      </c>
      <c r="DT51">
        <f>IF(DN51&lt;&gt;"",VLOOKUP(DJ51&amp;DL51,$AE$37:$AH$47,4,FALSE),"")</f>
        <v>0</v>
      </c>
      <c r="DZ51" s="51" t="str">
        <f t="shared" ca="1" si="0"/>
        <v>frei</v>
      </c>
      <c r="EC51" t="s">
        <v>98</v>
      </c>
      <c r="ED51" s="50">
        <v>45487.875</v>
      </c>
      <c r="EE51" t="s">
        <v>460</v>
      </c>
      <c r="EF51" t="s">
        <v>480</v>
      </c>
      <c r="EG51">
        <v>110</v>
      </c>
      <c r="EH51" t="s">
        <v>416</v>
      </c>
      <c r="EI51" t="s">
        <v>417</v>
      </c>
      <c r="EJ51">
        <v>51</v>
      </c>
      <c r="EM51" t="s">
        <v>312</v>
      </c>
      <c r="EN51" t="s">
        <v>313</v>
      </c>
    </row>
    <row r="52" spans="2:144" x14ac:dyDescent="0.2">
      <c r="B52" s="158" t="s">
        <v>14</v>
      </c>
      <c r="C52" s="159" t="str">
        <f t="shared" ref="C52:C54" si="79">IF(OR($L$37="",$N$37=""),"",CS41)</f>
        <v/>
      </c>
      <c r="D52" s="159"/>
      <c r="E52" s="159"/>
      <c r="F52" s="160" t="str">
        <f t="shared" ref="F52:H52" si="80">IF(OR($L$37="",$N$37=""),"",CU41)</f>
        <v/>
      </c>
      <c r="G52" s="160" t="str">
        <f t="shared" si="80"/>
        <v/>
      </c>
      <c r="H52" s="160" t="str">
        <f t="shared" si="80"/>
        <v/>
      </c>
      <c r="I52" s="159"/>
      <c r="J52" s="159"/>
      <c r="K52" s="159" t="str">
        <f t="shared" ref="K52:K54" si="81">IF(OR($L$37="",$N$37=""),"",CX41)</f>
        <v/>
      </c>
      <c r="L52" s="160" t="s">
        <v>20</v>
      </c>
      <c r="M52" s="161" t="str">
        <f t="shared" ref="M52:M54" si="82">IF(OR($L$37="",$N$37=""),"",CY41)</f>
        <v/>
      </c>
      <c r="N52" s="161"/>
      <c r="O52" s="160" t="str">
        <f t="shared" ref="O52:O54" si="83">IF(OR($L$37="",$N$37=""),"",CZ41)</f>
        <v/>
      </c>
      <c r="P52" s="159"/>
      <c r="Q52" s="160" t="str">
        <f t="shared" ref="Q52:Q54" si="84">IF(OR($L$37="",$N$37=""),"",DA41)</f>
        <v/>
      </c>
      <c r="R52" s="162"/>
      <c r="T52" s="197"/>
      <c r="V52" s="158" t="s">
        <v>14</v>
      </c>
      <c r="W52" s="159" t="str">
        <f t="shared" ref="W52:W54" si="85">IF(OR($AF$37="",$AH$37=""),"",CS52)</f>
        <v/>
      </c>
      <c r="X52" s="159"/>
      <c r="Y52" s="159"/>
      <c r="Z52" s="160" t="str">
        <f t="shared" ref="Z52:Z54" si="86">IF(OR($AF$37="",$AH$37=""),"",CU52)</f>
        <v/>
      </c>
      <c r="AA52" s="160" t="str">
        <f t="shared" ref="AA52:AA54" si="87">IF(OR($AF$37="",$AH$37=""),"",CV52)</f>
        <v/>
      </c>
      <c r="AB52" s="160" t="str">
        <f t="shared" ref="AB52:AB54" si="88">IF(OR($AF$37="",$AH$37=""),"",CW52)</f>
        <v/>
      </c>
      <c r="AC52" s="159"/>
      <c r="AD52" s="159"/>
      <c r="AE52" s="159" t="str">
        <f t="shared" ref="AE52:AE54" si="89">IF(OR($AF$37="",$AH$37=""),"",CX52)</f>
        <v/>
      </c>
      <c r="AF52" s="160" t="s">
        <v>20</v>
      </c>
      <c r="AG52" s="161" t="str">
        <f t="shared" ref="AG52:AG54" si="90">IF(OR($AF$37="",$AH$37=""),"",CY52)</f>
        <v/>
      </c>
      <c r="AH52" s="161"/>
      <c r="AI52" s="160" t="str">
        <f t="shared" ref="AI52:AI54" si="91">IF(OR($AF$37="",$AH$37=""),"",CZ52)</f>
        <v/>
      </c>
      <c r="AJ52" s="159"/>
      <c r="AK52" s="160" t="str">
        <f t="shared" ref="AK52:AK54" si="92">IF(OR($AF$37="",$AH$37=""),"",DA52)</f>
        <v/>
      </c>
      <c r="AL52" s="162"/>
      <c r="AN52" s="46"/>
      <c r="AP52" s="158" t="s">
        <v>14</v>
      </c>
      <c r="AQ52" s="159" t="str">
        <f t="shared" ref="AQ52:AQ54" si="93">IF(OR($AZ$37="",$BB$37=""),"",CS63)</f>
        <v/>
      </c>
      <c r="AR52" s="159"/>
      <c r="AS52" s="159"/>
      <c r="AT52" s="160" t="str">
        <f t="shared" ref="AT52:AV52" si="94">IF(OR($AZ$37="",$BB$37=""),"",CU63)</f>
        <v/>
      </c>
      <c r="AU52" s="160" t="str">
        <f t="shared" si="94"/>
        <v/>
      </c>
      <c r="AV52" s="160" t="str">
        <f t="shared" si="94"/>
        <v/>
      </c>
      <c r="AW52" s="159"/>
      <c r="AX52" s="159"/>
      <c r="AY52" s="159" t="str">
        <f t="shared" ref="AY52:AY54" si="95">IF(OR($AZ$37="",$BB$37=""),"",CX63)</f>
        <v/>
      </c>
      <c r="AZ52" s="160" t="s">
        <v>20</v>
      </c>
      <c r="BA52" s="161" t="str">
        <f t="shared" ref="BA52:BA54" si="96">IF(OR($AZ$37="",$BB$37=""),"",CY63)</f>
        <v/>
      </c>
      <c r="BB52" s="161"/>
      <c r="BC52" s="160" t="str">
        <f t="shared" ref="BC52:BC54" si="97">IF(OR($AZ$37="",$BB$37=""),"",CZ63)</f>
        <v/>
      </c>
      <c r="BD52" s="159"/>
      <c r="BE52" s="160" t="str">
        <f t="shared" ref="BE52:BE54" si="98">IF(OR($AZ$37="",$BB$37=""),"",DA63)</f>
        <v/>
      </c>
      <c r="BF52" s="162"/>
      <c r="BH52" s="46"/>
      <c r="BJ52" s="74"/>
      <c r="BK52" s="75"/>
      <c r="BL52" s="75"/>
      <c r="BM52" s="75"/>
      <c r="BN52" s="76"/>
      <c r="BO52" s="76"/>
      <c r="BP52" s="76"/>
      <c r="BQ52" s="75"/>
      <c r="BR52" s="75"/>
      <c r="BS52" s="75"/>
      <c r="BT52" s="76"/>
      <c r="BU52" s="185"/>
      <c r="BV52" s="185"/>
      <c r="BW52" s="76"/>
      <c r="BX52" s="75"/>
      <c r="BY52" s="76" t="str">
        <f>IF(OR($BT$9="",$BV$9=""),"",DA68)</f>
        <v/>
      </c>
      <c r="BZ52" s="186"/>
      <c r="CA52" s="65"/>
      <c r="CB52" s="63"/>
      <c r="CD52" s="2"/>
      <c r="CE52" s="11"/>
      <c r="CQ52" s="12"/>
      <c r="CS52" s="86" t="s">
        <v>181</v>
      </c>
      <c r="CT52">
        <f>COUNTIF(CI$8:CJ$69,CS52&amp;"x")</f>
        <v>0</v>
      </c>
      <c r="CU52">
        <f>COUNTIF(CO$8:CP$69,CS52&amp;3)</f>
        <v>0</v>
      </c>
      <c r="CV52">
        <f>COUNTIF(CO$8:CP$69,CS52&amp;1)</f>
        <v>0</v>
      </c>
      <c r="CW52">
        <f>COUNTIF(CO$8:CP$69,CS52&amp;0)</f>
        <v>0</v>
      </c>
      <c r="CX52" s="2">
        <f>SUMIF($W$37:$W$48,CS52,$AF$37:$AF$48)+SUMIF($Y$37:$Y$48,CS52,$AH$37:$AH$48)</f>
        <v>0</v>
      </c>
      <c r="CY52" s="2">
        <f>SUMIF($W$37:$W$48,CS52,$AH$37:$AH$48)+SUMIF($Y$37:$Y$48,CS52,$AF$37:$AF$48)</f>
        <v>0</v>
      </c>
      <c r="CZ52">
        <f>CX52-CY52</f>
        <v>0</v>
      </c>
      <c r="DA52">
        <f>SUMIF(CM$8:CM$69,CS52,CN$8:CN$69)+SUMIF(CK$8:CK$69,CS52,CL$8:CL$69)</f>
        <v>0</v>
      </c>
      <c r="DB52" s="9"/>
      <c r="DC52" t="str">
        <f>IF(COUNTIF($DA$51:$DA$54,DA52)&gt;1,"dV"&amp;DA52,"")</f>
        <v>dV0</v>
      </c>
      <c r="DD52" s="56">
        <f>DA52+(SUMIF($DO$51:$DO$56,DH52,$DP$51:$DP$56)+SUMIF($DQ$51:$DQ$56,DH52,$DR$51:$DR$56))/10</f>
        <v>0</v>
      </c>
      <c r="DE52" s="47">
        <f>DF52-DG52</f>
        <v>0</v>
      </c>
      <c r="DF52" s="47">
        <f>SUMIF($DO$51:$DO$56,DH52,$DS$51:$DS$56)+SUMIF($DQ$51:$DQ$56,DH52,$DT$51:$DT$56)</f>
        <v>0</v>
      </c>
      <c r="DG52" s="47">
        <f>SUMIF($DO$51:$DO$56,DH52,$DT$51:$DT$56)+SUMIF($DQ$51:$DQ$56,DH52,$DS$51:$DS$56)</f>
        <v>0</v>
      </c>
      <c r="DH52" t="str">
        <f>CS52&amp;"dV"</f>
        <v>SlowakeidV</v>
      </c>
      <c r="DJ52" s="8" t="str">
        <f t="shared" si="77"/>
        <v>Belgien</v>
      </c>
      <c r="DK52" t="str">
        <f t="shared" ref="DK52:DK56" si="99">VLOOKUP(DJ52,$CS$50:$DC$54,11,FALSE)</f>
        <v>dV0</v>
      </c>
      <c r="DL52" t="str">
        <f t="shared" ref="DL52:DL56" si="100">CM54</f>
        <v>Slowakei</v>
      </c>
      <c r="DM52" t="str">
        <f t="shared" ref="DM52:DM56" si="101">VLOOKUP(DL52,$CS$50:$DC$54,11,FALSE)</f>
        <v>dV0</v>
      </c>
      <c r="DN52" s="12" t="str">
        <f t="shared" si="78"/>
        <v>0</v>
      </c>
      <c r="DO52" t="str">
        <f t="shared" ref="DO52:DO56" si="102">DJ52&amp;LEFT(DK52,2)</f>
        <v>BelgiendV</v>
      </c>
      <c r="DP52" t="str">
        <f t="shared" ref="DP52:DP56" si="103">IF(DN52&lt;&gt;"",CL54,"")</f>
        <v/>
      </c>
      <c r="DQ52" t="str">
        <f t="shared" ref="DQ52:DQ56" si="104">DL52&amp;LEFT(DM52,2)</f>
        <v>SlowakeidV</v>
      </c>
      <c r="DR52" t="str">
        <f t="shared" ref="DR52:DR56" si="105">IF(DN52&lt;&gt;"",CN54,"")</f>
        <v/>
      </c>
      <c r="DS52">
        <f t="shared" ref="DS52:DS56" si="106">IF(DN52&lt;&gt;"",VLOOKUP(DJ52&amp;DL52,$AE$37:$AH$47,2,FALSE),"")</f>
        <v>0</v>
      </c>
      <c r="DT52">
        <f t="shared" ref="DT52:DT56" si="107">IF(DN52&lt;&gt;"",VLOOKUP(DJ52&amp;DL52,$AE$37:$AH$47,4,FALSE),"")</f>
        <v>0</v>
      </c>
    </row>
    <row r="53" spans="2:144" x14ac:dyDescent="0.2">
      <c r="B53" s="99" t="s">
        <v>15</v>
      </c>
      <c r="C53" s="100" t="str">
        <f t="shared" si="79"/>
        <v/>
      </c>
      <c r="D53" s="100"/>
      <c r="E53" s="100"/>
      <c r="F53" s="101" t="str">
        <f t="shared" ref="F53:H53" si="108">IF(OR($L$37="",$N$37=""),"",CU42)</f>
        <v/>
      </c>
      <c r="G53" s="101" t="str">
        <f t="shared" si="108"/>
        <v/>
      </c>
      <c r="H53" s="101" t="str">
        <f t="shared" si="108"/>
        <v/>
      </c>
      <c r="I53" s="100"/>
      <c r="J53" s="100"/>
      <c r="K53" s="100" t="str">
        <f t="shared" si="81"/>
        <v/>
      </c>
      <c r="L53" s="101" t="s">
        <v>20</v>
      </c>
      <c r="M53" s="102" t="str">
        <f t="shared" si="82"/>
        <v/>
      </c>
      <c r="N53" s="102"/>
      <c r="O53" s="101" t="str">
        <f t="shared" si="83"/>
        <v/>
      </c>
      <c r="P53" s="100"/>
      <c r="Q53" s="101" t="str">
        <f t="shared" si="84"/>
        <v/>
      </c>
      <c r="R53" s="103"/>
      <c r="T53" s="197"/>
      <c r="V53" s="99" t="s">
        <v>15</v>
      </c>
      <c r="W53" s="100" t="str">
        <f t="shared" si="85"/>
        <v/>
      </c>
      <c r="X53" s="100"/>
      <c r="Y53" s="100"/>
      <c r="Z53" s="101" t="str">
        <f t="shared" si="86"/>
        <v/>
      </c>
      <c r="AA53" s="101" t="str">
        <f t="shared" si="87"/>
        <v/>
      </c>
      <c r="AB53" s="101" t="str">
        <f t="shared" si="88"/>
        <v/>
      </c>
      <c r="AC53" s="100"/>
      <c r="AD53" s="100"/>
      <c r="AE53" s="100" t="str">
        <f t="shared" si="89"/>
        <v/>
      </c>
      <c r="AF53" s="101" t="s">
        <v>20</v>
      </c>
      <c r="AG53" s="102" t="str">
        <f t="shared" si="90"/>
        <v/>
      </c>
      <c r="AH53" s="102"/>
      <c r="AI53" s="101" t="str">
        <f t="shared" si="91"/>
        <v/>
      </c>
      <c r="AJ53" s="100"/>
      <c r="AK53" s="101" t="str">
        <f t="shared" si="92"/>
        <v/>
      </c>
      <c r="AL53" s="104"/>
      <c r="AN53" s="46"/>
      <c r="AP53" s="99" t="s">
        <v>15</v>
      </c>
      <c r="AQ53" s="100" t="str">
        <f t="shared" si="93"/>
        <v/>
      </c>
      <c r="AR53" s="100"/>
      <c r="AS53" s="100"/>
      <c r="AT53" s="101" t="str">
        <f t="shared" ref="AT53:AV53" si="109">IF(OR($AZ$37="",$BB$37=""),"",CU64)</f>
        <v/>
      </c>
      <c r="AU53" s="101" t="str">
        <f t="shared" si="109"/>
        <v/>
      </c>
      <c r="AV53" s="101" t="str">
        <f t="shared" si="109"/>
        <v/>
      </c>
      <c r="AW53" s="100"/>
      <c r="AX53" s="100"/>
      <c r="AY53" s="100" t="str">
        <f t="shared" si="95"/>
        <v/>
      </c>
      <c r="AZ53" s="101" t="s">
        <v>20</v>
      </c>
      <c r="BA53" s="102" t="str">
        <f t="shared" si="96"/>
        <v/>
      </c>
      <c r="BB53" s="102"/>
      <c r="BC53" s="101" t="str">
        <f t="shared" si="97"/>
        <v/>
      </c>
      <c r="BD53" s="100"/>
      <c r="BE53" s="101" t="str">
        <f t="shared" si="98"/>
        <v/>
      </c>
      <c r="BF53" s="103"/>
      <c r="BH53" s="46"/>
      <c r="BJ53" s="77"/>
      <c r="BK53" s="78"/>
      <c r="BL53" s="78"/>
      <c r="BM53" s="78"/>
      <c r="BN53" s="79"/>
      <c r="BO53" s="79"/>
      <c r="BP53" s="79"/>
      <c r="BQ53" s="78"/>
      <c r="BR53" s="78"/>
      <c r="BS53" s="78"/>
      <c r="BT53" s="79"/>
      <c r="BU53" s="187"/>
      <c r="BV53" s="187"/>
      <c r="BW53" s="79"/>
      <c r="BX53" s="78"/>
      <c r="BY53" s="79" t="str">
        <f>IF(OR($BT$9="",$BV$9=""),"",DA69)</f>
        <v/>
      </c>
      <c r="BZ53" s="188"/>
      <c r="CA53" s="65"/>
      <c r="CB53" s="63"/>
      <c r="CD53" s="2">
        <f>IF(OR(AF37="",AH37=""),0,SUM(CF53:CH53))</f>
        <v>0</v>
      </c>
      <c r="CE53" s="11"/>
      <c r="CF53" t="str">
        <f>IF(AND(AF37&amp;AH37=AJ37&amp;AL37,AJ37&amp;AL37&lt;&gt;"",AF37&lt;&gt;"",AH37&lt;&gt;"",AJ37&lt;&gt;"",AL37&lt;&gt;""),Spielregeln!$D$9,"")</f>
        <v/>
      </c>
      <c r="CG53" t="str">
        <f>IF(AND(CF53="",AF37-AH37=AJ37-AL37,AJ37&amp;AL37&lt;&gt;"",AF37&lt;&gt;"",AH37&lt;&gt;"",AJ37&lt;&gt;"",AL37&lt;&gt;""),IF(OR(AND(AF37=AH37,Spielregeln!$E$13="Tordifferenz"),AF37&lt;&gt;AH37),Spielregeln!$D$10,""),"")</f>
        <v/>
      </c>
      <c r="CH53" t="str">
        <f>IF(OR(AF37="",AH37="",AJ37="",AL37=""),"",IF(AND(AF37-AH37&gt;0,CF53="",CG53="",AJ37-AL37&gt;0),Spielregeln!$D$11,IF(AND(AF37-AH37=0,CF53="",CG53="",AJ37-AL37=0,AJ37&amp;AL37&lt;&gt;""),Spielregeln!$D$11,IF(AND(AF37-AH37&lt;0,CF53="",CG53="",AJ37-AL37&lt;0),Spielregeln!$D$11,""))))</f>
        <v/>
      </c>
      <c r="CI53" t="str">
        <f>IF(AND(AF37&lt;&gt;"",AH37&lt;&gt;""),W37&amp;"x","")</f>
        <v/>
      </c>
      <c r="CJ53" t="str">
        <f>IF(AND(AF37&lt;&gt;"",AH37&lt;&gt;""),Y37&amp;"x","")</f>
        <v/>
      </c>
      <c r="CK53" t="str">
        <f>W37</f>
        <v>Rumänien</v>
      </c>
      <c r="CL53" t="str">
        <f>IF(AND(AF37&gt;AH37,AF37&lt;&gt;"",AH37&lt;&gt;""),3,IF(AND(AF37=AH37,AF37&lt;&gt;"",AH37&lt;&gt;""),1,IF(OR(AF37="",AH37=""),"",0)))</f>
        <v/>
      </c>
      <c r="CM53" t="str">
        <f>Y37</f>
        <v>Ukraine</v>
      </c>
      <c r="CN53" t="str">
        <f>IF(AND(AF37&lt;AH37,AF37&lt;&gt;"",AH37&lt;&gt;""),3,IF(AND(AF37=AH37,AF37&lt;&gt;"",AH37&lt;&gt;""),1,IF(OR(AF37="",AH37=""),"",0)))</f>
        <v/>
      </c>
      <c r="CO53" t="str">
        <f t="shared" ref="CO53:CO58" si="110">CK53&amp;CL53</f>
        <v>Rumänien</v>
      </c>
      <c r="CP53" t="str">
        <f t="shared" ref="CP53:CP58" si="111">CM53&amp;CN53</f>
        <v>Ukraine</v>
      </c>
      <c r="CQ53" s="12" t="str">
        <f>IF(AF37&gt;AH37,1,IF(AND(AF37=AH37,AF37&lt;&gt;"",AH37&lt;&gt;""),0,IF(AF37&lt;AH37,2,"")))</f>
        <v/>
      </c>
      <c r="CS53" s="86" t="s">
        <v>672</v>
      </c>
      <c r="CT53">
        <f>COUNTIF(CI$8:CJ$69,CS53&amp;"x")</f>
        <v>0</v>
      </c>
      <c r="CU53">
        <f>COUNTIF(CO$8:CP$69,CS53&amp;3)</f>
        <v>0</v>
      </c>
      <c r="CV53">
        <f>COUNTIF(CO$8:CP$69,CS53&amp;1)</f>
        <v>0</v>
      </c>
      <c r="CW53">
        <f>COUNTIF(CO$8:CP$69,CS53&amp;0)</f>
        <v>0</v>
      </c>
      <c r="CX53" s="2">
        <f>SUMIF($W$37:$W$48,CS53,$AF$37:$AF$48)+SUMIF($Y$37:$Y$48,CS53,$AH$37:$AH$48)</f>
        <v>0</v>
      </c>
      <c r="CY53" s="2">
        <f>SUMIF($W$37:$W$48,CS53,$AH$37:$AH$48)+SUMIF($Y$37:$Y$48,CS53,$AF$37:$AF$48)</f>
        <v>0</v>
      </c>
      <c r="CZ53">
        <f>CX53-CY53</f>
        <v>0</v>
      </c>
      <c r="DA53">
        <f>SUMIF(CM$8:CM$69,CS53,CN$8:CN$69)+SUMIF(CK$8:CK$69,CS53,CL$8:CL$69)</f>
        <v>0</v>
      </c>
      <c r="DB53" s="9"/>
      <c r="DC53" t="str">
        <f>IF(COUNTIF($DA$51:$DA$54,DA53)&gt;1,"dV"&amp;DA53,"")</f>
        <v>dV0</v>
      </c>
      <c r="DD53" s="56">
        <f>DA53+(SUMIF($DO$51:$DO$56,DH53,$DP$51:$DP$56)+SUMIF($DQ$51:$DQ$56,DH53,$DR$51:$DR$56))/10</f>
        <v>0</v>
      </c>
      <c r="DE53" s="47">
        <f>DF53-DG53</f>
        <v>0</v>
      </c>
      <c r="DF53" s="47">
        <f>SUMIF($DO$51:$DO$56,DH53,$DS$51:$DS$56)+SUMIF($DQ$51:$DQ$56,DH53,$DT$51:$DT$56)</f>
        <v>0</v>
      </c>
      <c r="DG53" s="47">
        <f>SUMIF($DO$51:$DO$56,DH53,$DT$51:$DT$56)+SUMIF($DQ$51:$DQ$56,DH53,$DS$51:$DS$56)</f>
        <v>0</v>
      </c>
      <c r="DH53" t="str">
        <f>CS53&amp;"dV"</f>
        <v>RumäniendV</v>
      </c>
      <c r="DJ53" s="8" t="str">
        <f t="shared" si="77"/>
        <v>Slowakei</v>
      </c>
      <c r="DK53" t="str">
        <f t="shared" si="99"/>
        <v>dV0</v>
      </c>
      <c r="DL53" t="str">
        <f t="shared" si="100"/>
        <v>Ukraine</v>
      </c>
      <c r="DM53" t="str">
        <f t="shared" si="101"/>
        <v>dV0</v>
      </c>
      <c r="DN53" s="12" t="str">
        <f t="shared" si="78"/>
        <v>0</v>
      </c>
      <c r="DO53" t="str">
        <f t="shared" si="102"/>
        <v>SlowakeidV</v>
      </c>
      <c r="DP53" t="str">
        <f t="shared" si="103"/>
        <v/>
      </c>
      <c r="DQ53" t="str">
        <f t="shared" si="104"/>
        <v>UkrainedV</v>
      </c>
      <c r="DR53" t="str">
        <f t="shared" si="105"/>
        <v/>
      </c>
      <c r="DS53">
        <f t="shared" si="106"/>
        <v>0</v>
      </c>
      <c r="DT53">
        <f t="shared" si="107"/>
        <v>0</v>
      </c>
    </row>
    <row r="54" spans="2:144" ht="13.5" thickBot="1" x14ac:dyDescent="0.25">
      <c r="B54" s="94" t="s">
        <v>16</v>
      </c>
      <c r="C54" s="95" t="str">
        <f t="shared" si="79"/>
        <v/>
      </c>
      <c r="D54" s="95"/>
      <c r="E54" s="95"/>
      <c r="F54" s="96" t="str">
        <f t="shared" ref="F54:H54" si="112">IF(OR($L$37="",$N$37=""),"",CU43)</f>
        <v/>
      </c>
      <c r="G54" s="96" t="str">
        <f t="shared" si="112"/>
        <v/>
      </c>
      <c r="H54" s="96" t="str">
        <f t="shared" si="112"/>
        <v/>
      </c>
      <c r="I54" s="95"/>
      <c r="J54" s="95"/>
      <c r="K54" s="95" t="str">
        <f t="shared" si="81"/>
        <v/>
      </c>
      <c r="L54" s="96" t="s">
        <v>20</v>
      </c>
      <c r="M54" s="97" t="str">
        <f t="shared" si="82"/>
        <v/>
      </c>
      <c r="N54" s="97"/>
      <c r="O54" s="96" t="str">
        <f t="shared" si="83"/>
        <v/>
      </c>
      <c r="P54" s="95"/>
      <c r="Q54" s="96" t="str">
        <f t="shared" si="84"/>
        <v/>
      </c>
      <c r="R54" s="98"/>
      <c r="T54" s="197"/>
      <c r="V54" s="94" t="s">
        <v>16</v>
      </c>
      <c r="W54" s="95" t="str">
        <f t="shared" si="85"/>
        <v/>
      </c>
      <c r="X54" s="95"/>
      <c r="Y54" s="95"/>
      <c r="Z54" s="96" t="str">
        <f t="shared" si="86"/>
        <v/>
      </c>
      <c r="AA54" s="96" t="str">
        <f t="shared" si="87"/>
        <v/>
      </c>
      <c r="AB54" s="96" t="str">
        <f t="shared" si="88"/>
        <v/>
      </c>
      <c r="AC54" s="95"/>
      <c r="AD54" s="95"/>
      <c r="AE54" s="95" t="str">
        <f t="shared" si="89"/>
        <v/>
      </c>
      <c r="AF54" s="96" t="s">
        <v>20</v>
      </c>
      <c r="AG54" s="97" t="str">
        <f t="shared" si="90"/>
        <v/>
      </c>
      <c r="AH54" s="97"/>
      <c r="AI54" s="96" t="str">
        <f t="shared" si="91"/>
        <v/>
      </c>
      <c r="AJ54" s="95"/>
      <c r="AK54" s="96" t="str">
        <f t="shared" si="92"/>
        <v/>
      </c>
      <c r="AL54" s="98"/>
      <c r="AN54" s="46"/>
      <c r="AP54" s="94" t="s">
        <v>16</v>
      </c>
      <c r="AQ54" s="95" t="str">
        <f t="shared" si="93"/>
        <v/>
      </c>
      <c r="AR54" s="95"/>
      <c r="AS54" s="95"/>
      <c r="AT54" s="96" t="str">
        <f t="shared" ref="AT54:AV54" si="113">IF(OR($AZ$37="",$BB$37=""),"",CU65)</f>
        <v/>
      </c>
      <c r="AU54" s="96" t="str">
        <f t="shared" si="113"/>
        <v/>
      </c>
      <c r="AV54" s="96" t="str">
        <f t="shared" si="113"/>
        <v/>
      </c>
      <c r="AW54" s="95"/>
      <c r="AX54" s="95"/>
      <c r="AY54" s="95" t="str">
        <f t="shared" si="95"/>
        <v/>
      </c>
      <c r="AZ54" s="96" t="s">
        <v>20</v>
      </c>
      <c r="BA54" s="97" t="str">
        <f t="shared" si="96"/>
        <v/>
      </c>
      <c r="BB54" s="97"/>
      <c r="BC54" s="96" t="str">
        <f t="shared" si="97"/>
        <v/>
      </c>
      <c r="BD54" s="95"/>
      <c r="BE54" s="96" t="str">
        <f t="shared" si="98"/>
        <v/>
      </c>
      <c r="BF54" s="98"/>
      <c r="BH54" s="46"/>
      <c r="BJ54" s="80"/>
      <c r="BK54" s="81"/>
      <c r="BL54" s="81"/>
      <c r="BM54" s="81"/>
      <c r="BN54" s="82"/>
      <c r="BO54" s="82"/>
      <c r="BP54" s="82"/>
      <c r="BQ54" s="81"/>
      <c r="BR54" s="81"/>
      <c r="BS54" s="81"/>
      <c r="BT54" s="82"/>
      <c r="BU54" s="189"/>
      <c r="BV54" s="189"/>
      <c r="BW54" s="82"/>
      <c r="BX54" s="81"/>
      <c r="BY54" s="82" t="str">
        <f>IF(OR($BT$9="",$BV$9=""),"",DA70)</f>
        <v/>
      </c>
      <c r="BZ54" s="190"/>
      <c r="CA54" s="65"/>
      <c r="CB54" s="63"/>
      <c r="CD54" s="2">
        <f>IF(OR(AF39="",AH39=""),0,SUM(CF54:CH54))</f>
        <v>0</v>
      </c>
      <c r="CE54" s="11"/>
      <c r="CF54" t="str">
        <f>IF(AND(AF39&amp;AH39=AJ39&amp;AL39,AJ39&amp;AL39&lt;&gt;"",AF39&lt;&gt;"",AH39&lt;&gt;"",AJ39&lt;&gt;"",AL39&lt;&gt;""),Spielregeln!$D$9,"")</f>
        <v/>
      </c>
      <c r="CG54" t="str">
        <f>IF(AND(CF54="",AF39-AH39=AJ39-AL39,AJ39&amp;AL39&lt;&gt;"",AF39&lt;&gt;"",AH39&lt;&gt;"",AJ39&lt;&gt;"",AL39&lt;&gt;""),IF(OR(AND(AF39=AH39,Spielregeln!$E$13="Tordifferenz"),AF39&lt;&gt;AH39),Spielregeln!$D$10,""),"")</f>
        <v/>
      </c>
      <c r="CH54" t="str">
        <f>IF(OR(AF39="",AH39="",AJ39="",AL39=""),"",IF(AND(AF39-AH39&gt;0,CF54="",CG54="",AJ39-AL39&gt;0),Spielregeln!$D$11,IF(AND(AF39-AH39=0,CF54="",CG54="",AJ39-AL39=0,AJ39&amp;AL39&lt;&gt;""),Spielregeln!$D$11,IF(AND(AF39-AH39&lt;0,CF54="",CG54="",AJ39-AL39&lt;0),Spielregeln!$D$11,""))))</f>
        <v/>
      </c>
      <c r="CI54" t="str">
        <f>IF(AND(AF39&lt;&gt;"",AH39&lt;&gt;""),W39&amp;"x","")</f>
        <v/>
      </c>
      <c r="CJ54" t="str">
        <f>IF(AND(AF39&lt;&gt;"",AH39&lt;&gt;""),Y39&amp;"x","")</f>
        <v/>
      </c>
      <c r="CK54" t="str">
        <f>W39</f>
        <v>Belgien</v>
      </c>
      <c r="CL54" t="str">
        <f>IF(AND(AF39&gt;AH39,AF39&lt;&gt;"",AH39&lt;&gt;""),3,IF(AND(AF39=AH39,AF39&lt;&gt;"",AH39&lt;&gt;""),1,IF(OR(AF39="",AH39=""),"",0)))</f>
        <v/>
      </c>
      <c r="CM54" t="str">
        <f>Y39</f>
        <v>Slowakei</v>
      </c>
      <c r="CN54" t="str">
        <f>IF(AND(AF39&lt;AH39,AF39&lt;&gt;"",AH39&lt;&gt;""),3,IF(AND(AF39=AH39,AF39&lt;&gt;"",AH39&lt;&gt;""),1,IF(OR(AF39="",AH39=""),"",0)))</f>
        <v/>
      </c>
      <c r="CO54" t="str">
        <f t="shared" si="110"/>
        <v>Belgien</v>
      </c>
      <c r="CP54" t="str">
        <f t="shared" si="111"/>
        <v>Slowakei</v>
      </c>
      <c r="CQ54" s="12" t="str">
        <f>IF(AF39&gt;AH39,1,IF(AND(AF39=AH39,AF39&lt;&gt;"",AH39&lt;&gt;""),0,IF(AF39&lt;AH39,2,"")))</f>
        <v/>
      </c>
      <c r="CS54" s="86" t="s">
        <v>707</v>
      </c>
      <c r="CT54">
        <f>COUNTIF(CI$8:CJ$69,CS54&amp;"x")</f>
        <v>0</v>
      </c>
      <c r="CU54">
        <f>COUNTIF(CO$8:CP$69,CS54&amp;3)</f>
        <v>0</v>
      </c>
      <c r="CV54">
        <f>COUNTIF(CO$8:CP$69,CS54&amp;1)</f>
        <v>0</v>
      </c>
      <c r="CW54">
        <f>COUNTIF(CO$8:CP$69,CS54&amp;0)</f>
        <v>0</v>
      </c>
      <c r="CX54" s="2">
        <f>SUMIF($W$37:$W$48,CS54,$AF$37:$AF$48)+SUMIF($Y$37:$Y$48,CS54,$AH$37:$AH$48)</f>
        <v>0</v>
      </c>
      <c r="CY54" s="2">
        <f>SUMIF($W$37:$W$48,CS54,$AH$37:$AH$48)+SUMIF($Y$37:$Y$48,CS54,$AF$37:$AF$48)</f>
        <v>0</v>
      </c>
      <c r="CZ54">
        <f>CX54-CY54</f>
        <v>0</v>
      </c>
      <c r="DA54">
        <f>SUMIF(CM$8:CM$69,CS54,CN$8:CN$69)+SUMIF(CK$8:CK$69,CS54,CL$8:CL$69)</f>
        <v>0</v>
      </c>
      <c r="DB54" s="9"/>
      <c r="DC54" t="str">
        <f>IF(COUNTIF($DA$51:$DA$54,DA54)&gt;1,"dV"&amp;DA54,"")</f>
        <v>dV0</v>
      </c>
      <c r="DD54" s="56">
        <f>DA54+(SUMIF($DO$51:$DO$56,DH54,$DP$51:$DP$56)+SUMIF($DQ$51:$DQ$56,DH54,$DR$51:$DR$56))/10</f>
        <v>0</v>
      </c>
      <c r="DE54" s="47">
        <f>DF54-DG54</f>
        <v>0</v>
      </c>
      <c r="DF54" s="47">
        <f>SUMIF($DO$51:$DO$56,DH54,$DS$51:$DS$56)+SUMIF($DQ$51:$DQ$56,DH54,$DT$51:$DT$56)</f>
        <v>0</v>
      </c>
      <c r="DG54" s="47">
        <f>SUMIF($DO$51:$DO$56,DH54,$DT$51:$DT$56)+SUMIF($DQ$51:$DQ$56,DH54,$DS$51:$DS$56)</f>
        <v>0</v>
      </c>
      <c r="DH54" t="str">
        <f>CS54&amp;"dV"</f>
        <v>UkrainedV</v>
      </c>
      <c r="DJ54" s="8" t="str">
        <f t="shared" si="77"/>
        <v>Belgien</v>
      </c>
      <c r="DK54" t="str">
        <f t="shared" si="99"/>
        <v>dV0</v>
      </c>
      <c r="DL54" t="str">
        <f t="shared" si="100"/>
        <v>Rumänien</v>
      </c>
      <c r="DM54" t="str">
        <f t="shared" si="101"/>
        <v>dV0</v>
      </c>
      <c r="DN54" s="12" t="str">
        <f t="shared" si="78"/>
        <v>0</v>
      </c>
      <c r="DO54" t="str">
        <f t="shared" si="102"/>
        <v>BelgiendV</v>
      </c>
      <c r="DP54" t="str">
        <f t="shared" si="103"/>
        <v/>
      </c>
      <c r="DQ54" t="str">
        <f t="shared" si="104"/>
        <v>RumäniendV</v>
      </c>
      <c r="DR54" t="str">
        <f t="shared" si="105"/>
        <v/>
      </c>
      <c r="DS54">
        <f t="shared" si="106"/>
        <v>0</v>
      </c>
      <c r="DT54">
        <f t="shared" si="107"/>
        <v>0</v>
      </c>
    </row>
    <row r="55" spans="2:144" x14ac:dyDescent="0.2">
      <c r="T55" s="2"/>
      <c r="BH55" s="46"/>
      <c r="CB55" s="46"/>
      <c r="CD55" s="2">
        <f>IF(OR(AF41="",AH41=""),0,SUM(CF55:CH55))</f>
        <v>0</v>
      </c>
      <c r="CE55" s="11"/>
      <c r="CF55" t="str">
        <f>IF(AND(AF41&amp;AH41=AJ41&amp;AL41,AJ41&amp;AL41&lt;&gt;"",AF41&lt;&gt;"",AH41&lt;&gt;"",AJ41&lt;&gt;"",AL41&lt;&gt;""),Spielregeln!$D$9,"")</f>
        <v/>
      </c>
      <c r="CG55" t="str">
        <f>IF(AND(CF55="",AF41-AH41=AJ41-AL41,AJ41&amp;AL41&lt;&gt;"",AF41&lt;&gt;"",AH41&lt;&gt;"",AJ41&lt;&gt;"",AL41&lt;&gt;""),IF(OR(AND(AF41=AH41,Spielregeln!$E$13="Tordifferenz"),AF41&lt;&gt;AH41),Spielregeln!$D$10,""),"")</f>
        <v/>
      </c>
      <c r="CH55" t="str">
        <f>IF(OR(AF41="",AH41="",AJ41="",AL41=""),"",IF(AND(AF41-AH41&gt;0,CF55="",CG55="",AJ41-AL41&gt;0),Spielregeln!$D$11,IF(AND(AF41-AH41=0,CF55="",CG55="",AJ41-AL41=0,AJ41&amp;AL41&lt;&gt;""),Spielregeln!$D$11,IF(AND(AF41-AH41&lt;0,CF55="",CG55="",AJ41-AL41&lt;0),Spielregeln!$D$11,""))))</f>
        <v/>
      </c>
      <c r="CI55" t="str">
        <f>IF(AND(AF41&lt;&gt;"",AH41&lt;&gt;""),W41&amp;"x","")</f>
        <v/>
      </c>
      <c r="CJ55" t="str">
        <f>IF(AND(AF41&lt;&gt;"",AH41&lt;&gt;""),Y41&amp;"x","")</f>
        <v/>
      </c>
      <c r="CK55" t="str">
        <f>W41</f>
        <v>Slowakei</v>
      </c>
      <c r="CL55" t="str">
        <f>IF(AND(AF41&gt;AH41,AF41&lt;&gt;"",AH41&lt;&gt;""),3,IF(AND(AF41=AH41,AF41&lt;&gt;"",AH41&lt;&gt;""),1,IF(OR(AF41="",AH41=""),"",0)))</f>
        <v/>
      </c>
      <c r="CM55" t="str">
        <f>Y41</f>
        <v>Ukraine</v>
      </c>
      <c r="CN55" t="str">
        <f>IF(AND(AF41&lt;AH41,AF41&lt;&gt;"",AH41&lt;&gt;""),3,IF(AND(AF41=AH41,AF41&lt;&gt;"",AH41&lt;&gt;""),1,IF(OR(AF41="",AH41=""),"",0)))</f>
        <v/>
      </c>
      <c r="CO55" t="str">
        <f t="shared" si="110"/>
        <v>Slowakei</v>
      </c>
      <c r="CP55" t="str">
        <f t="shared" si="111"/>
        <v>Ukraine</v>
      </c>
      <c r="CQ55" s="12" t="str">
        <f>IF(AF41&gt;AH41,1,IF(AND(AF41=AH41,AF41&lt;&gt;"",AH41&lt;&gt;""),0,IF(AF41&lt;AH41,2,"")))</f>
        <v/>
      </c>
      <c r="CR55" t="s">
        <v>44</v>
      </c>
      <c r="DJ55" s="8" t="str">
        <f t="shared" si="77"/>
        <v>Slowakei</v>
      </c>
      <c r="DK55" t="str">
        <f t="shared" si="99"/>
        <v>dV0</v>
      </c>
      <c r="DL55" t="str">
        <f t="shared" si="100"/>
        <v>Rumänien</v>
      </c>
      <c r="DM55" t="str">
        <f t="shared" si="101"/>
        <v>dV0</v>
      </c>
      <c r="DN55" s="12" t="str">
        <f t="shared" si="78"/>
        <v>0</v>
      </c>
      <c r="DO55" t="str">
        <f t="shared" si="102"/>
        <v>SlowakeidV</v>
      </c>
      <c r="DP55" t="str">
        <f t="shared" si="103"/>
        <v/>
      </c>
      <c r="DQ55" t="str">
        <f t="shared" si="104"/>
        <v>RumäniendV</v>
      </c>
      <c r="DR55" t="str">
        <f t="shared" si="105"/>
        <v/>
      </c>
      <c r="DS55">
        <f t="shared" si="106"/>
        <v>0</v>
      </c>
      <c r="DT55">
        <f t="shared" si="107"/>
        <v>0</v>
      </c>
    </row>
    <row r="56" spans="2:144" ht="15.95" customHeight="1" x14ac:dyDescent="0.2">
      <c r="T56" s="2"/>
      <c r="X56" s="211" t="s">
        <v>23</v>
      </c>
      <c r="Y56" s="211"/>
      <c r="Z56" s="211"/>
      <c r="AA56" s="211"/>
      <c r="AB56" s="44"/>
      <c r="AC56" s="44"/>
      <c r="AD56" s="44"/>
      <c r="AE56" s="211" t="s">
        <v>12</v>
      </c>
      <c r="AF56" s="211"/>
      <c r="AG56" s="211"/>
      <c r="AH56" s="211"/>
      <c r="AI56" s="211"/>
      <c r="BH56" s="46"/>
      <c r="CB56" s="46"/>
      <c r="CD56" s="2">
        <f>IF(OR(AF43="",AH43=""),0,SUM(CF56:CH56))</f>
        <v>0</v>
      </c>
      <c r="CE56" s="11"/>
      <c r="CF56" t="str">
        <f>IF(AND(AF43&amp;AH43=AJ43&amp;AL43,AJ43&amp;AL43&lt;&gt;"",AF43&lt;&gt;"",AH43&lt;&gt;"",AJ43&lt;&gt;"",AL43&lt;&gt;""),Spielregeln!$D$9,"")</f>
        <v/>
      </c>
      <c r="CG56" t="str">
        <f>IF(AND(CF56="",AF43-AH43=AJ43-AL43,AJ43&amp;AL43&lt;&gt;"",AF43&lt;&gt;"",AH43&lt;&gt;"",AJ43&lt;&gt;"",AL43&lt;&gt;""),IF(OR(AND(AF43=AH43,Spielregeln!$E$13="Tordifferenz"),AF43&lt;&gt;AH43),Spielregeln!$D$10,""),"")</f>
        <v/>
      </c>
      <c r="CH56" t="str">
        <f>IF(OR(AF43="",AH43="",AJ43="",AL43=""),"",IF(AND(AF43-AH43&gt;0,CF56="",CG56="",AJ43-AL43&gt;0),Spielregeln!$D$11,IF(AND(AF43-AH43=0,CF56="",CG56="",AJ43-AL43=0,AJ43&amp;AL43&lt;&gt;""),Spielregeln!$D$11,IF(AND(AF43-AH43&lt;0,CF56="",CG56="",AJ43-AL43&lt;0),Spielregeln!$D$11,""))))</f>
        <v/>
      </c>
      <c r="CI56" t="str">
        <f>IF(AND(AF43&lt;&gt;"",AH43&lt;&gt;""),W43&amp;"x","")</f>
        <v/>
      </c>
      <c r="CJ56" t="str">
        <f>IF(AND(AF43&lt;&gt;"",AH43&lt;&gt;""),Y43&amp;"x","")</f>
        <v/>
      </c>
      <c r="CK56" t="str">
        <f>W43</f>
        <v>Belgien</v>
      </c>
      <c r="CL56" t="str">
        <f>IF(AND(AF43&gt;AH43,AF43&lt;&gt;"",AH43&lt;&gt;""),3,IF(AND(AF43=AH43,AF43&lt;&gt;"",AH43&lt;&gt;""),1,IF(OR(AF43="",AH43=""),"",0)))</f>
        <v/>
      </c>
      <c r="CM56" t="str">
        <f>Y43</f>
        <v>Rumänien</v>
      </c>
      <c r="CN56" t="str">
        <f>IF(AND(AF43&lt;AH43,AF43&lt;&gt;"",AH43&lt;&gt;""),3,IF(AND(AF43=AH43,AF43&lt;&gt;"",AH43&lt;&gt;""),1,IF(OR(AF43="",AH43=""),"",0)))</f>
        <v/>
      </c>
      <c r="CO56" t="str">
        <f t="shared" si="110"/>
        <v>Belgien</v>
      </c>
      <c r="CP56" t="str">
        <f t="shared" si="111"/>
        <v>Rumänien</v>
      </c>
      <c r="CQ56" s="12" t="str">
        <f>IF(AF43&gt;AH43,1,IF(AND(AF43=AH43,AF43&lt;&gt;"",AH43&lt;&gt;""),0,IF(AF43&lt;AH43,2,"")))</f>
        <v/>
      </c>
      <c r="CR56" s="37" t="str">
        <f>IF(AE104&lt;&gt;"",COUNTIF($X$104:$X$105,AE104),"")</f>
        <v/>
      </c>
      <c r="DJ56" s="57" t="str">
        <f t="shared" si="77"/>
        <v>Ukraine</v>
      </c>
      <c r="DK56" s="14" t="str">
        <f t="shared" si="99"/>
        <v>dV0</v>
      </c>
      <c r="DL56" s="14" t="str">
        <f t="shared" si="100"/>
        <v>Belgien</v>
      </c>
      <c r="DM56" s="14" t="str">
        <f t="shared" si="101"/>
        <v>dV0</v>
      </c>
      <c r="DN56" s="15" t="str">
        <f t="shared" si="78"/>
        <v>0</v>
      </c>
      <c r="DO56" t="str">
        <f t="shared" si="102"/>
        <v>UkrainedV</v>
      </c>
      <c r="DP56" t="str">
        <f t="shared" si="103"/>
        <v/>
      </c>
      <c r="DQ56" t="str">
        <f t="shared" si="104"/>
        <v>BelgiendV</v>
      </c>
      <c r="DR56" t="str">
        <f t="shared" si="105"/>
        <v/>
      </c>
      <c r="DS56">
        <f t="shared" si="106"/>
        <v>0</v>
      </c>
      <c r="DT56">
        <f t="shared" si="107"/>
        <v>0</v>
      </c>
    </row>
    <row r="57" spans="2:144" x14ac:dyDescent="0.2">
      <c r="B57" s="147"/>
      <c r="C57" s="148" t="s">
        <v>195</v>
      </c>
      <c r="D57" s="148"/>
      <c r="E57" s="148"/>
      <c r="F57" s="148"/>
      <c r="G57" s="148"/>
      <c r="H57" s="148"/>
      <c r="I57" s="148"/>
      <c r="J57" s="148"/>
      <c r="K57" s="148"/>
      <c r="L57" s="148"/>
      <c r="M57" s="148" t="s">
        <v>12</v>
      </c>
      <c r="N57" s="149"/>
      <c r="O57" s="148"/>
      <c r="P57" s="148"/>
      <c r="Q57" s="148" t="s">
        <v>23</v>
      </c>
      <c r="R57" s="149"/>
      <c r="T57" s="197" t="s">
        <v>111</v>
      </c>
      <c r="W57" s="157" t="s">
        <v>41</v>
      </c>
      <c r="X57" s="157"/>
      <c r="Y57" s="157"/>
      <c r="Z57" s="157"/>
      <c r="AA57" s="157"/>
      <c r="AB57" s="157"/>
      <c r="AC57" s="157"/>
      <c r="AD57" s="157"/>
      <c r="AE57" s="157"/>
      <c r="AF57" s="157"/>
      <c r="AG57" s="157"/>
      <c r="AH57" s="157"/>
      <c r="AI57" s="157"/>
      <c r="AN57" s="46"/>
      <c r="CD57" s="2">
        <f>IF(OR(AF45="",AH45=""),0,SUM(CF57:CH57))</f>
        <v>0</v>
      </c>
      <c r="CE57" s="11"/>
      <c r="CF57" t="str">
        <f>IF(AND(AF45&amp;AH45=AJ45&amp;AL45,AJ45&amp;AL45&lt;&gt;"",AF45&lt;&gt;"",AH45&lt;&gt;"",AJ45&lt;&gt;"",AL45&lt;&gt;""),Spielregeln!$D$9,"")</f>
        <v/>
      </c>
      <c r="CG57" t="str">
        <f>IF(AND(CF57="",AF45-AH45=AJ45-AL45,AJ45&amp;AL45&lt;&gt;"",AF45&lt;&gt;"",AH45&lt;&gt;"",AJ45&lt;&gt;"",AL45&lt;&gt;""),IF(OR(AND(AF45=AH45,Spielregeln!$E$13="Tordifferenz"),AF45&lt;&gt;AH45),Spielregeln!$D$10,""),"")</f>
        <v/>
      </c>
      <c r="CH57" t="str">
        <f>IF(OR(AF45="",AH45="",AJ45="",AL45=""),"",IF(AND(AF45-AH45&gt;0,CF57="",CG57="",AJ45-AL45&gt;0),Spielregeln!$D$11,IF(AND(AF45-AH45=0,CF57="",CG57="",AJ45-AL45=0,AJ45&amp;AL45&lt;&gt;""),Spielregeln!$D$11,IF(AND(AF45-AH45&lt;0,CF57="",CG57="",AJ45-AL45&lt;0),Spielregeln!$D$11,""))))</f>
        <v/>
      </c>
      <c r="CI57" t="str">
        <f>IF(AND(AF45&lt;&gt;"",AH45&lt;&gt;""),W45&amp;"x","")</f>
        <v/>
      </c>
      <c r="CJ57" t="str">
        <f>IF(AND(AF45&lt;&gt;"",AH45&lt;&gt;""),Y45&amp;"x","")</f>
        <v/>
      </c>
      <c r="CK57" t="str">
        <f>W45</f>
        <v>Slowakei</v>
      </c>
      <c r="CL57" t="str">
        <f>IF(AND(AF45&gt;AH45,AF45&lt;&gt;"",AH45&lt;&gt;""),3,IF(AND(AF45=AH45,AF45&lt;&gt;"",AH45&lt;&gt;""),1,IF(OR(AF45="",AH45=""),"",0)))</f>
        <v/>
      </c>
      <c r="CM57" t="str">
        <f>Y45</f>
        <v>Rumänien</v>
      </c>
      <c r="CN57" t="str">
        <f>IF(AND(AF45&lt;AH45,AF45&lt;&gt;"",AH45&lt;&gt;""),3,IF(AND(AF45=AH45,AF45&lt;&gt;"",AH45&lt;&gt;""),1,IF(OR(AF45="",AH45=""),"",0)))</f>
        <v/>
      </c>
      <c r="CO57" t="str">
        <f t="shared" si="110"/>
        <v>Slowakei</v>
      </c>
      <c r="CP57" t="str">
        <f t="shared" si="111"/>
        <v>Rumänien</v>
      </c>
      <c r="CQ57" s="12" t="str">
        <f>IF(AF45&gt;AH45,1,IF(AND(AF45=AH45,AF45&lt;&gt;"",AH45&lt;&gt;""),0,IF(AF45&lt;AH45,2,"")))</f>
        <v/>
      </c>
      <c r="CR57" s="37" t="str">
        <f>IF(AE105&lt;&gt;"",COUNTIF($X$104:$X$105,AE105),"")</f>
        <v/>
      </c>
    </row>
    <row r="58" spans="2:144" x14ac:dyDescent="0.2">
      <c r="T58" s="197"/>
      <c r="W58" t="s">
        <v>45</v>
      </c>
      <c r="X58" s="202"/>
      <c r="Y58" s="202"/>
      <c r="Z58" s="202"/>
      <c r="AA58" s="202"/>
      <c r="AE58" t="str">
        <f>IF(SUM(CT7:CT10)=12,C23,"")</f>
        <v/>
      </c>
      <c r="AN58" s="46"/>
      <c r="CD58" s="2">
        <f>IF(OR(AF47="",AH47=""),0,SUM(CF58:CH58))</f>
        <v>0</v>
      </c>
      <c r="CE58" s="13"/>
      <c r="CF58" s="14" t="str">
        <f>IF(AND(AF47&amp;AH47=AJ47&amp;AL47,AJ47&amp;AL47&lt;&gt;"",AF47&lt;&gt;"",AH47&lt;&gt;"",AJ47&lt;&gt;"",AL47&lt;&gt;""),Spielregeln!$D$9,"")</f>
        <v/>
      </c>
      <c r="CG58" s="14" t="str">
        <f>IF(AND(CF58="",AF47-AH47=AJ47-AL47,AJ47&amp;AL47&lt;&gt;"",AF47&lt;&gt;"",AH47&lt;&gt;"",AJ47&lt;&gt;"",AL47&lt;&gt;""),IF(OR(AND(AF47=AH47,Spielregeln!$E$13="Tordifferenz"),AF47&lt;&gt;AH47),Spielregeln!$D$10,""),"")</f>
        <v/>
      </c>
      <c r="CH58" s="14" t="str">
        <f>IF(OR(AF47="",AH47="",AJ47="",AL47=""),"",IF(AND(AF47-AH47&gt;0,CF58="",CG58="",AJ47-AL47&gt;0),Spielregeln!$D$11,IF(AND(AF47-AH47=0,CF58="",CG58="",AJ47-AL47=0,AJ47&amp;AL47&lt;&gt;""),Spielregeln!$D$11,IF(AND(AF47-AH47&lt;0,CF58="",CG58="",AJ47-AL47&lt;0),Spielregeln!$D$11,""))))</f>
        <v/>
      </c>
      <c r="CI58" s="14" t="str">
        <f>IF(AND(AF47&lt;&gt;"",AH47&lt;&gt;""),W47&amp;"x","")</f>
        <v/>
      </c>
      <c r="CJ58" s="14" t="str">
        <f>IF(AND(AF47&lt;&gt;"",AH47&lt;&gt;""),Y47&amp;"x","")</f>
        <v/>
      </c>
      <c r="CK58" s="14" t="str">
        <f>W47</f>
        <v>Ukraine</v>
      </c>
      <c r="CL58" s="14" t="str">
        <f>IF(AND(AF47&gt;AH47,AF47&lt;&gt;"",AH47&lt;&gt;""),3,IF(AND(AF47=AH47,AF47&lt;&gt;"",AH47&lt;&gt;""),1,IF(OR(AF47="",AH47=""),"",0)))</f>
        <v/>
      </c>
      <c r="CM58" s="14" t="str">
        <f>Y47</f>
        <v>Belgien</v>
      </c>
      <c r="CN58" s="14" t="str">
        <f>IF(AND(AF47&lt;AH47,AF47&lt;&gt;"",AH47&lt;&gt;""),3,IF(AND(AF47=AH47,AF47&lt;&gt;"",AH47&lt;&gt;""),1,IF(OR(AF47="",AH47=""),"",0)))</f>
        <v/>
      </c>
      <c r="CO58" s="14" t="str">
        <f t="shared" si="110"/>
        <v>Ukraine</v>
      </c>
      <c r="CP58" s="14" t="str">
        <f t="shared" si="111"/>
        <v>Belgien</v>
      </c>
      <c r="CQ58" s="15" t="str">
        <f>IF(AF47&gt;AH47,1,IF(AND(AF47=AH47,AF47&lt;&gt;"",AH47&lt;&gt;""),0,IF(AF47&lt;AH47,2,"")))</f>
        <v/>
      </c>
    </row>
    <row r="59" spans="2:144" x14ac:dyDescent="0.2">
      <c r="B59" s="36" t="s">
        <v>187</v>
      </c>
      <c r="C59" t="str">
        <f>IF(AE58&lt;&gt;"",C23,"")</f>
        <v/>
      </c>
      <c r="E59" t="str">
        <f>IF(AE60&lt;&gt;"",AQ24,"")</f>
        <v/>
      </c>
      <c r="I59" s="196"/>
      <c r="L59" s="194"/>
      <c r="M59" s="2" t="s">
        <v>20</v>
      </c>
      <c r="N59" s="194"/>
      <c r="O59" s="2"/>
      <c r="P59" s="195"/>
      <c r="Q59" s="2" t="s">
        <v>20</v>
      </c>
      <c r="R59" s="195"/>
      <c r="T59" s="197">
        <f>CD75</f>
        <v>0</v>
      </c>
      <c r="W59" t="s">
        <v>46</v>
      </c>
      <c r="X59" s="202"/>
      <c r="Y59" s="202"/>
      <c r="Z59" s="202"/>
      <c r="AA59" s="202"/>
      <c r="AE59" t="str">
        <f>IF(SUM(CT18:CT21)=12,W23,"")</f>
        <v/>
      </c>
      <c r="AN59" s="46"/>
    </row>
    <row r="60" spans="2:144" x14ac:dyDescent="0.2">
      <c r="B60" s="36" t="s">
        <v>685</v>
      </c>
      <c r="I60" s="2"/>
      <c r="L60" s="2"/>
      <c r="N60" s="2"/>
      <c r="O60" s="2"/>
      <c r="P60" s="2"/>
      <c r="R60" s="2"/>
      <c r="T60" s="2"/>
      <c r="W60" t="s">
        <v>47</v>
      </c>
      <c r="X60" s="202"/>
      <c r="Y60" s="202"/>
      <c r="Z60" s="202"/>
      <c r="AA60" s="202"/>
      <c r="AE60" t="str">
        <f>IF(SUM(CT29:CT32)=12,AQ23,"")</f>
        <v/>
      </c>
      <c r="AN60" s="46"/>
      <c r="CS60" s="83" t="s">
        <v>177</v>
      </c>
      <c r="CX60" s="2"/>
      <c r="CY60" s="2"/>
    </row>
    <row r="61" spans="2:144" x14ac:dyDescent="0.2">
      <c r="I61" s="2"/>
      <c r="L61" s="2"/>
      <c r="N61" s="2"/>
      <c r="O61" s="2"/>
      <c r="P61" s="2"/>
      <c r="R61" s="2"/>
      <c r="T61" s="2"/>
      <c r="W61" t="s">
        <v>48</v>
      </c>
      <c r="X61" s="202"/>
      <c r="Y61" s="202"/>
      <c r="Z61" s="202"/>
      <c r="AA61" s="202"/>
      <c r="AE61" t="str">
        <f>IF(SUM(CT40:CT43)=12,C51,"")</f>
        <v/>
      </c>
      <c r="AN61" s="46"/>
      <c r="CD61" s="2"/>
      <c r="CE61" s="84" t="s">
        <v>177</v>
      </c>
      <c r="CF61" s="209" t="s">
        <v>36</v>
      </c>
      <c r="CG61" s="209"/>
      <c r="CH61" s="209"/>
      <c r="CI61" s="6"/>
      <c r="CJ61" s="6"/>
      <c r="CK61" s="6"/>
      <c r="CL61" s="6"/>
      <c r="CM61" s="6"/>
      <c r="CN61" s="6"/>
      <c r="CO61" s="6"/>
      <c r="CP61" s="6"/>
      <c r="CQ61" s="7"/>
      <c r="CR61" t="s">
        <v>109</v>
      </c>
      <c r="CS61" t="s">
        <v>34</v>
      </c>
      <c r="CT61" t="s">
        <v>30</v>
      </c>
      <c r="CU61" t="s">
        <v>31</v>
      </c>
      <c r="CV61" t="s">
        <v>32</v>
      </c>
      <c r="CW61" t="s">
        <v>33</v>
      </c>
      <c r="CX61" s="4" t="s">
        <v>22</v>
      </c>
      <c r="CY61" s="2" t="s">
        <v>112</v>
      </c>
      <c r="CZ61" t="s">
        <v>25</v>
      </c>
      <c r="DA61" t="s">
        <v>21</v>
      </c>
      <c r="DB61" s="9" t="s">
        <v>121</v>
      </c>
      <c r="DC61" t="s">
        <v>113</v>
      </c>
      <c r="DD61" t="s">
        <v>117</v>
      </c>
      <c r="DE61" t="s">
        <v>118</v>
      </c>
      <c r="DF61" t="s">
        <v>119</v>
      </c>
      <c r="DG61" t="s">
        <v>120</v>
      </c>
      <c r="DH61" t="s">
        <v>34</v>
      </c>
      <c r="DJ61" s="55" t="s">
        <v>116</v>
      </c>
      <c r="DK61" s="6"/>
      <c r="DL61" s="6"/>
      <c r="DM61" s="6"/>
      <c r="DN61" s="7" t="s">
        <v>115</v>
      </c>
      <c r="DP61" t="s">
        <v>21</v>
      </c>
      <c r="DR61" t="s">
        <v>21</v>
      </c>
      <c r="DS61" t="s">
        <v>22</v>
      </c>
      <c r="DT61" t="s">
        <v>22</v>
      </c>
    </row>
    <row r="62" spans="2:144" x14ac:dyDescent="0.2">
      <c r="B62" s="36" t="s">
        <v>188</v>
      </c>
      <c r="C62" t="str">
        <f>IF(AE58&lt;&gt;"",C24,"")</f>
        <v/>
      </c>
      <c r="E62" t="str">
        <f>IF(AE59&lt;&gt;"",W24,"")</f>
        <v/>
      </c>
      <c r="I62" s="196"/>
      <c r="L62" s="194"/>
      <c r="M62" s="2" t="s">
        <v>20</v>
      </c>
      <c r="N62" s="194"/>
      <c r="O62" s="2"/>
      <c r="P62" s="195"/>
      <c r="Q62" s="2" t="s">
        <v>20</v>
      </c>
      <c r="R62" s="195"/>
      <c r="T62" s="197">
        <f>CD76</f>
        <v>0</v>
      </c>
      <c r="W62" s="83" t="s">
        <v>196</v>
      </c>
      <c r="X62" s="202"/>
      <c r="Y62" s="202"/>
      <c r="Z62" s="202"/>
      <c r="AA62" s="202"/>
      <c r="AE62" t="str">
        <f>IF(SUM(CT51:CT54)=12,W51,"")</f>
        <v/>
      </c>
      <c r="AN62" s="46"/>
      <c r="CD62" s="58" t="s">
        <v>179</v>
      </c>
      <c r="CE62" s="8"/>
      <c r="CF62" s="9" t="s">
        <v>12</v>
      </c>
      <c r="CG62" s="9" t="s">
        <v>25</v>
      </c>
      <c r="CH62" s="9" t="s">
        <v>26</v>
      </c>
      <c r="CI62" s="206" t="s">
        <v>27</v>
      </c>
      <c r="CJ62" s="206"/>
      <c r="CK62" s="207" t="s">
        <v>35</v>
      </c>
      <c r="CL62" s="207"/>
      <c r="CM62" s="207"/>
      <c r="CN62" s="207"/>
      <c r="CO62" s="208" t="s">
        <v>28</v>
      </c>
      <c r="CP62" s="208"/>
      <c r="CQ62" s="10" t="s">
        <v>29</v>
      </c>
      <c r="CR62" s="37" t="str">
        <f>IF(AE109&lt;&gt;"",COUNTIF($X$109,AE109),"")</f>
        <v/>
      </c>
      <c r="CS62" s="86" t="s">
        <v>182</v>
      </c>
      <c r="CT62">
        <f>COUNTIF(CI$8:CJ$69,CS62&amp;"x")</f>
        <v>0</v>
      </c>
      <c r="CU62">
        <f>COUNTIF(CO$8:CP$69,CS62&amp;3)</f>
        <v>0</v>
      </c>
      <c r="CV62">
        <f>COUNTIF(CO$8:CP$69,CS62&amp;1)</f>
        <v>0</v>
      </c>
      <c r="CW62">
        <f>COUNTIF(CO$8:CP$69,CS62&amp;0)</f>
        <v>0</v>
      </c>
      <c r="CX62" s="2">
        <f>SUMIF($AQ$37:$AQ$48,CS62,$AZ$37:$AZ$48)+SUMIF($AS$37:$AS$48,CS62,$BB$37:$BB$48)</f>
        <v>0</v>
      </c>
      <c r="CY62" s="2">
        <f>SUMIF($AQ$37:$AQ$48,CS62,$BB$37:$BB$48)+SUMIF($AS$37:$AS$48,CS62,$AZ$37:$AZ$48)</f>
        <v>0</v>
      </c>
      <c r="CZ62">
        <f>CX62-CY62</f>
        <v>0</v>
      </c>
      <c r="DA62">
        <f>SUMIF(CM$8:CM$69,CS62,CN$8:CN$69)+SUMIF(CK$8:CK$69,CS62,CL$8:CL$69)</f>
        <v>0</v>
      </c>
      <c r="DB62" s="9"/>
      <c r="DC62" t="str">
        <f>IF(COUNTIF($DA$62:$DA$65,DA62)&gt;1,"dV"&amp;DA62,"")</f>
        <v>dV0</v>
      </c>
      <c r="DD62" s="56">
        <f>DA62+(SUMIF($DO$62:$DO$67,DH62,$DP$62:$DP$67)+SUMIF($DQ$62:$DQ$67,DH62,$DR$62:$DR$67))/10</f>
        <v>0</v>
      </c>
      <c r="DE62" s="47">
        <f>DF62-DG62</f>
        <v>0</v>
      </c>
      <c r="DF62" s="47">
        <f>SUMIF($DO$62:$DO$67,DH62,$DS$62:$DS$67)+SUMIF($DQ$62:$DQ$67,DH62,$DT$62:$DT$67)</f>
        <v>0</v>
      </c>
      <c r="DG62" s="47">
        <f>SUMIF($DO$62:$DO$67,DH62,$DT$62:$DT$67)+SUMIF($DQ$62:$DQ$67,DH62,$DS$62:$DS$67)</f>
        <v>0</v>
      </c>
      <c r="DH62" t="str">
        <f>CS62&amp;"dV"</f>
        <v>TürkeidV</v>
      </c>
      <c r="DJ62" s="8" t="str">
        <f t="shared" ref="DJ62:DJ67" si="114">CK64</f>
        <v>Türkei</v>
      </c>
      <c r="DK62" t="str">
        <f>VLOOKUP(DJ62,$CS$61:$DC$65,11,FALSE)</f>
        <v>dV0</v>
      </c>
      <c r="DL62" t="str">
        <f>CM64</f>
        <v>Georgien</v>
      </c>
      <c r="DM62" t="str">
        <f>VLOOKUP(DL62,$CS$61:$DC$65,11,FALSE)</f>
        <v>dV0</v>
      </c>
      <c r="DN62" s="12" t="str">
        <f t="shared" ref="DN62:DN67" si="115">IF(AND(DK62&lt;&gt;"",DM62&lt;&gt;"",DK62=DM62),RIGHT(DK62,1),"")</f>
        <v>0</v>
      </c>
      <c r="DO62" t="str">
        <f t="shared" ref="DO62:DO67" si="116">DJ62&amp;LEFT(DK62,2)</f>
        <v>TürkeidV</v>
      </c>
      <c r="DP62" t="str">
        <f t="shared" ref="DP62:DP67" si="117">IF(DN62&lt;&gt;"",CL64,"")</f>
        <v/>
      </c>
      <c r="DQ62" t="str">
        <f t="shared" ref="DQ62:DQ67" si="118">DL62&amp;LEFT(DM62,2)</f>
        <v>GeorgiendV</v>
      </c>
      <c r="DR62" t="str">
        <f t="shared" ref="DR62:DR67" si="119">IF(DN62&lt;&gt;"",CN64,"")</f>
        <v/>
      </c>
      <c r="DS62">
        <f>IF(DN62&lt;&gt;"",VLOOKUP(DJ62&amp;DL62,$AY$37:$BB$47,2,FALSE),"")</f>
        <v>0</v>
      </c>
      <c r="DT62">
        <f>IF(DN62&lt;&gt;"",VLOOKUP(DJ62&amp;DL62,$AY$37:$BB$47,4,FALSE),"")</f>
        <v>0</v>
      </c>
    </row>
    <row r="63" spans="2:144" x14ac:dyDescent="0.2">
      <c r="B63" s="36" t="s">
        <v>686</v>
      </c>
      <c r="I63" s="2"/>
      <c r="L63" s="2"/>
      <c r="N63" s="2"/>
      <c r="O63" s="2"/>
      <c r="P63" s="2"/>
      <c r="R63" s="2"/>
      <c r="T63" s="2"/>
      <c r="W63" s="83" t="s">
        <v>197</v>
      </c>
      <c r="X63" s="203"/>
      <c r="Y63" s="203"/>
      <c r="Z63" s="203"/>
      <c r="AA63" s="203"/>
      <c r="AE63" t="str">
        <f>IF(SUM(CT62:CT65)=12,AQ51,"")</f>
        <v/>
      </c>
      <c r="AN63" s="46"/>
      <c r="CD63" s="2"/>
      <c r="CE63" s="11"/>
      <c r="CQ63" s="12"/>
      <c r="CS63" s="86" t="s">
        <v>708</v>
      </c>
      <c r="CT63">
        <f>COUNTIF(CI$8:CJ$69,CS63&amp;"x")</f>
        <v>0</v>
      </c>
      <c r="CU63">
        <f>COUNTIF(CO$8:CP$69,CS63&amp;3)</f>
        <v>0</v>
      </c>
      <c r="CV63">
        <f>COUNTIF(CO$8:CP$69,CS63&amp;1)</f>
        <v>0</v>
      </c>
      <c r="CW63">
        <f>COUNTIF(CO$8:CP$69,CS63&amp;0)</f>
        <v>0</v>
      </c>
      <c r="CX63" s="2">
        <f>SUMIF($AQ$37:$AQ$48,CS63,$AZ$37:$AZ$48)+SUMIF($AS$37:$AS$48,CS63,$BB$37:$BB$48)</f>
        <v>0</v>
      </c>
      <c r="CY63" s="2">
        <f>SUMIF($AQ$37:$AQ$48,CS63,$BB$37:$BB$48)+SUMIF($AS$37:$AS$48,CS63,$AZ$37:$AZ$48)</f>
        <v>0</v>
      </c>
      <c r="CZ63">
        <f>CX63-CY63</f>
        <v>0</v>
      </c>
      <c r="DA63">
        <f>SUMIF(CM$8:CM$69,CS63,CN$8:CN$69)+SUMIF(CK$8:CK$69,CS63,CL$8:CL$69)</f>
        <v>0</v>
      </c>
      <c r="DB63" s="9"/>
      <c r="DC63" t="str">
        <f>IF(COUNTIF($DA$62:$DA$65,DA63)&gt;1,"dV"&amp;DA63,"")</f>
        <v>dV0</v>
      </c>
      <c r="DD63" s="56">
        <f>DA63+(SUMIF($DO$62:$DO$67,DH63,$DP$62:$DP$67)+SUMIF($DQ$62:$DQ$67,DH63,$DR$62:$DR$67))/10</f>
        <v>0</v>
      </c>
      <c r="DE63" s="47">
        <f>DF63-DG63</f>
        <v>0</v>
      </c>
      <c r="DF63" s="47">
        <f>SUMIF($DO$62:$DO$67,DH63,$DS$62:$DS$67)+SUMIF($DQ$62:$DQ$67,DH63,$DT$62:$DT$67)</f>
        <v>0</v>
      </c>
      <c r="DG63" s="47">
        <f>SUMIF($DO$62:$DO$67,DH63,$DT$62:$DT$67)+SUMIF($DQ$62:$DQ$67,DH63,$DS$62:$DS$67)</f>
        <v>0</v>
      </c>
      <c r="DH63" t="str">
        <f>CS63&amp;"dV"</f>
        <v>GeorgiendV</v>
      </c>
      <c r="DJ63" s="8" t="str">
        <f t="shared" si="114"/>
        <v>Portugal</v>
      </c>
      <c r="DK63" t="str">
        <f t="shared" ref="DK63:DK67" si="120">VLOOKUP(DJ63,$CS$61:$DC$65,11,FALSE)</f>
        <v>dV0</v>
      </c>
      <c r="DL63" t="str">
        <f t="shared" ref="DL63:DL67" si="121">CM65</f>
        <v>Tschechien</v>
      </c>
      <c r="DM63" t="str">
        <f t="shared" ref="DM63:DM67" si="122">VLOOKUP(DL63,$CS$61:$DC$65,11,FALSE)</f>
        <v>dV0</v>
      </c>
      <c r="DN63" s="12" t="str">
        <f t="shared" si="115"/>
        <v>0</v>
      </c>
      <c r="DO63" t="str">
        <f t="shared" si="116"/>
        <v>PortugaldV</v>
      </c>
      <c r="DP63" t="str">
        <f t="shared" si="117"/>
        <v/>
      </c>
      <c r="DQ63" t="str">
        <f t="shared" si="118"/>
        <v>TschechiendV</v>
      </c>
      <c r="DR63" t="str">
        <f t="shared" si="119"/>
        <v/>
      </c>
      <c r="DS63">
        <f t="shared" ref="DS63:DS67" si="123">IF(DN63&lt;&gt;"",VLOOKUP(DJ63&amp;DL63,$AY$37:$BB$47,2,FALSE),"")</f>
        <v>0</v>
      </c>
      <c r="DT63">
        <f t="shared" ref="DT63:DT67" si="124">IF(DN63&lt;&gt;"",VLOOKUP(DJ63&amp;DL63,$AY$37:$BB$47,4,FALSE),"")</f>
        <v>0</v>
      </c>
    </row>
    <row r="64" spans="2:144" x14ac:dyDescent="0.2">
      <c r="I64" s="2"/>
      <c r="L64" s="2"/>
      <c r="N64" s="2"/>
      <c r="O64" s="2"/>
      <c r="P64" s="2"/>
      <c r="R64" s="2"/>
      <c r="T64" s="2"/>
      <c r="W64" s="38" t="s">
        <v>59</v>
      </c>
      <c r="X64" s="39">
        <f>AG64*Spielregeln!E33</f>
        <v>0</v>
      </c>
      <c r="Y64" s="39"/>
      <c r="Z64" s="39"/>
      <c r="AA64" s="39"/>
      <c r="AB64" s="39"/>
      <c r="AC64" s="39"/>
      <c r="AD64" s="39"/>
      <c r="AE64" s="39"/>
      <c r="AF64" s="40" t="s">
        <v>84</v>
      </c>
      <c r="AG64" s="39">
        <f>SUM(CR7:CR12)</f>
        <v>0</v>
      </c>
      <c r="AH64" s="39"/>
      <c r="AI64" s="41"/>
      <c r="AN64" s="46"/>
      <c r="CD64" s="2">
        <f>IF(OR(AZ37="",BB37=""),0,SUM(CF64:CH64))</f>
        <v>0</v>
      </c>
      <c r="CE64" s="11"/>
      <c r="CF64" t="str">
        <f>IF(AND(AZ37&amp;BB37=BD37&amp;BF37,BD37&amp;BF37&lt;&gt;"",AZ37&lt;&gt;"",BB37&lt;&gt;"",BD37&lt;&gt;"",BF37&lt;&gt;""),Spielregeln!$D$9,"")</f>
        <v/>
      </c>
      <c r="CG64" t="str">
        <f>IF(AND(CF64="",AZ37-BB37=BD37-BF37,BD37&amp;BF37&lt;&gt;"",AZ37&lt;&gt;"",BB37&lt;&gt;"",BD37&lt;&gt;"",BF37&lt;&gt;""),IF(OR(AND(AZ37=BB37,Spielregeln!$E$13="Tordifferenz"),AZ37&lt;&gt;BB37),Spielregeln!$D$10,""),"")</f>
        <v/>
      </c>
      <c r="CH64" t="str">
        <f>IF(OR(AZ37="",BB37="",BD37="",BF37=""),"",IF(AND(AZ37-BB37&gt;0,CF64="",CG64="",BD37-BF37&gt;0),Spielregeln!$D$11,IF(AND(AZ37-BB37=0,CF64="",CG64="",BD37-BF37=0,BD37&amp;BF37&lt;&gt;""),Spielregeln!$D$11,IF(AND(AZ37-BB37&lt;0,CF64="",CG64="",BD37-BF37&lt;0),Spielregeln!$D$11,""))))</f>
        <v/>
      </c>
      <c r="CI64" t="str">
        <f>IF(AND(AZ37&lt;&gt;"",BB37&lt;&gt;""),AQ37&amp;"x","")</f>
        <v/>
      </c>
      <c r="CJ64" t="str">
        <f>IF(AND(AZ37&lt;&gt;"",BB37&lt;&gt;""),AS37&amp;"x","")</f>
        <v/>
      </c>
      <c r="CK64" t="str">
        <f>AQ37</f>
        <v>Türkei</v>
      </c>
      <c r="CL64" t="str">
        <f>IF(AND(AZ37&gt;BB37,AZ37&lt;&gt;"",BB37&lt;&gt;""),3,IF(AND(AZ37=BB37,AZ37&lt;&gt;"",BB37&lt;&gt;""),1,IF(OR(AZ37="",BB37=""),"",0)))</f>
        <v/>
      </c>
      <c r="CM64" t="str">
        <f>AS37</f>
        <v>Georgien</v>
      </c>
      <c r="CN64" t="str">
        <f>IF(AND(AZ37&lt;BB37,AZ37&lt;&gt;"",BB37&lt;&gt;""),3,IF(AND(AZ37=BB37,AZ37&lt;&gt;"",BB37&lt;&gt;""),1,IF(OR(AZ37="",BB37=""),"",0)))</f>
        <v/>
      </c>
      <c r="CO64" t="str">
        <f t="shared" ref="CO64" si="125">CK64&amp;CL64</f>
        <v>Türkei</v>
      </c>
      <c r="CP64" t="str">
        <f t="shared" ref="CP64" si="126">CM64&amp;CN64</f>
        <v>Georgien</v>
      </c>
      <c r="CQ64" s="12" t="str">
        <f>IF(AZ37&gt;BB37,1,IF(AND(AZ37=BB37,AZ37&lt;&gt;"",BB37&lt;&gt;""),0,IF(AZ37&lt;BB37,2,"")))</f>
        <v/>
      </c>
      <c r="CS64" s="86" t="s">
        <v>5</v>
      </c>
      <c r="CT64">
        <f>COUNTIF(CI$8:CJ$69,CS64&amp;"x")</f>
        <v>0</v>
      </c>
      <c r="CU64">
        <f>COUNTIF(CO$8:CP$69,CS64&amp;3)</f>
        <v>0</v>
      </c>
      <c r="CV64">
        <f>COUNTIF(CO$8:CP$69,CS64&amp;1)</f>
        <v>0</v>
      </c>
      <c r="CW64">
        <f>COUNTIF(CO$8:CP$69,CS64&amp;0)</f>
        <v>0</v>
      </c>
      <c r="CX64" s="2">
        <f>SUMIF($AQ$37:$AQ$48,CS64,$AZ$37:$AZ$48)+SUMIF($AS$37:$AS$48,CS64,$BB$37:$BB$48)</f>
        <v>0</v>
      </c>
      <c r="CY64" s="2">
        <f>SUMIF($AQ$37:$AQ$48,CS64,$BB$37:$BB$48)+SUMIF($AS$37:$AS$48,CS64,$AZ$37:$AZ$48)</f>
        <v>0</v>
      </c>
      <c r="CZ64">
        <f>CX64-CY64</f>
        <v>0</v>
      </c>
      <c r="DA64">
        <f>SUMIF(CM$8:CM$69,CS64,CN$8:CN$69)+SUMIF(CK$8:CK$69,CS64,CL$8:CL$69)</f>
        <v>0</v>
      </c>
      <c r="DB64" s="9"/>
      <c r="DC64" t="str">
        <f>IF(COUNTIF($DA$62:$DA$65,DA64)&gt;1,"dV"&amp;DA64,"")</f>
        <v>dV0</v>
      </c>
      <c r="DD64" s="56">
        <f>DA64+(SUMIF($DO$62:$DO$67,DH64,$DP$62:$DP$67)+SUMIF($DQ$62:$DQ$67,DH64,$DR$62:$DR$67))/10</f>
        <v>0</v>
      </c>
      <c r="DE64" s="47">
        <f>DF64-DG64</f>
        <v>0</v>
      </c>
      <c r="DF64" s="47">
        <f>SUMIF($DO$62:$DO$67,DH64,$DS$62:$DS$67)+SUMIF($DQ$62:$DQ$67,DH64,$DT$62:$DT$67)</f>
        <v>0</v>
      </c>
      <c r="DG64" s="47">
        <f>SUMIF($DO$62:$DO$67,DH64,$DT$62:$DT$67)+SUMIF($DQ$62:$DQ$67,DH64,$DS$62:$DS$67)</f>
        <v>0</v>
      </c>
      <c r="DH64" t="str">
        <f>CS64&amp;"dV"</f>
        <v>PortugaldV</v>
      </c>
      <c r="DJ64" s="8" t="str">
        <f t="shared" si="114"/>
        <v>Georgien</v>
      </c>
      <c r="DK64" t="str">
        <f t="shared" si="120"/>
        <v>dV0</v>
      </c>
      <c r="DL64" t="str">
        <f t="shared" si="121"/>
        <v>Tschechien</v>
      </c>
      <c r="DM64" t="str">
        <f t="shared" si="122"/>
        <v>dV0</v>
      </c>
      <c r="DN64" s="12" t="str">
        <f t="shared" si="115"/>
        <v>0</v>
      </c>
      <c r="DO64" t="str">
        <f t="shared" si="116"/>
        <v>GeorgiendV</v>
      </c>
      <c r="DP64" t="str">
        <f t="shared" si="117"/>
        <v/>
      </c>
      <c r="DQ64" t="str">
        <f t="shared" si="118"/>
        <v>TschechiendV</v>
      </c>
      <c r="DR64" t="str">
        <f t="shared" si="119"/>
        <v/>
      </c>
      <c r="DS64">
        <f t="shared" si="123"/>
        <v>0</v>
      </c>
      <c r="DT64">
        <f t="shared" si="124"/>
        <v>0</v>
      </c>
    </row>
    <row r="65" spans="2:124" x14ac:dyDescent="0.2">
      <c r="B65" s="36" t="s">
        <v>189</v>
      </c>
      <c r="C65" t="str">
        <f>IF(AE59&lt;&gt;"",W23,"")</f>
        <v/>
      </c>
      <c r="E65" t="str">
        <f>IF(SUM(CT7:CT65)=72,CV111,"")</f>
        <v/>
      </c>
      <c r="I65" s="196"/>
      <c r="L65" s="194"/>
      <c r="M65" s="2" t="s">
        <v>20</v>
      </c>
      <c r="N65" s="194"/>
      <c r="O65" s="2"/>
      <c r="P65" s="195"/>
      <c r="Q65" s="2" t="s">
        <v>20</v>
      </c>
      <c r="R65" s="195"/>
      <c r="T65" s="197">
        <f>CD77</f>
        <v>0</v>
      </c>
      <c r="AN65" s="46"/>
      <c r="CD65" s="2">
        <f>IF(OR(AZ39="",BB39=""),0,SUM(CF65:CH65))</f>
        <v>0</v>
      </c>
      <c r="CE65" s="11"/>
      <c r="CF65" t="str">
        <f>IF(AND(AZ39&amp;BB39=BD39&amp;BF39,BD39&amp;BF39&lt;&gt;"",AZ39&lt;&gt;"",BB39&lt;&gt;"",BD39&lt;&gt;"",BF39&lt;&gt;""),Spielregeln!$D$9,"")</f>
        <v/>
      </c>
      <c r="CG65" t="str">
        <f>IF(AND(CF65="",AZ39-BB39=BD39-BF39,BD39&amp;BF39&lt;&gt;"",AZ39&lt;&gt;"",BB39&lt;&gt;"",BD39&lt;&gt;"",BF39&lt;&gt;""),IF(OR(AND(AZ39=BB39,Spielregeln!$E$13="Tordifferenz"),AZ39&lt;&gt;BB39),Spielregeln!$D$10,""),"")</f>
        <v/>
      </c>
      <c r="CH65" t="str">
        <f>IF(OR(AZ39="",BB39="",BD39="",BF39=""),"",IF(AND(AZ39-BB39&gt;0,CF65="",CG65="",BD39-BF39&gt;0),Spielregeln!$D$11,IF(AND(AZ39-BB39=0,CF65="",CG65="",BD39-BF39=0,BD39&amp;BF39&lt;&gt;""),Spielregeln!$D$11,IF(AND(AZ39-BB39&lt;0,CF65="",CG65="",BD39-BF39&lt;0),Spielregeln!$D$11,""))))</f>
        <v/>
      </c>
      <c r="CI65" t="str">
        <f>IF(AND(AZ39&lt;&gt;"",BB39&lt;&gt;""),AQ39&amp;"x","")</f>
        <v/>
      </c>
      <c r="CJ65" t="str">
        <f>IF(AND(AZ39&lt;&gt;"",BB39&lt;&gt;""),AS39&amp;"x","")</f>
        <v/>
      </c>
      <c r="CK65" t="str">
        <f>AQ39</f>
        <v>Portugal</v>
      </c>
      <c r="CL65" t="str">
        <f>IF(AND(AZ39&gt;BB39,AZ39&lt;&gt;"",BB39&lt;&gt;""),3,IF(AND(AZ39=BB39,AZ39&lt;&gt;"",BB39&lt;&gt;""),1,IF(OR(AZ39="",BB39=""),"",0)))</f>
        <v/>
      </c>
      <c r="CM65" t="str">
        <f>AS39</f>
        <v>Tschechien</v>
      </c>
      <c r="CN65" t="str">
        <f>IF(AND(AZ39&lt;BB39,AZ39&lt;&gt;"",BB39&lt;&gt;""),3,IF(AND(AZ39=BB39,AZ39&lt;&gt;"",BB39&lt;&gt;""),1,IF(OR(AZ39="",BB39=""),"",0)))</f>
        <v/>
      </c>
      <c r="CO65" t="str">
        <f t="shared" ref="CO65" si="127">CK65&amp;CL65</f>
        <v>Portugal</v>
      </c>
      <c r="CP65" t="str">
        <f t="shared" ref="CP65" si="128">CM65&amp;CN65</f>
        <v>Tschechien</v>
      </c>
      <c r="CQ65" s="12" t="str">
        <f>IF(AZ39&gt;BB39,1,IF(AND(AZ39=BB39,AZ39&lt;&gt;"",BB39&lt;&gt;""),0,IF(AZ39&lt;BB39,2,"")))</f>
        <v/>
      </c>
      <c r="CS65" s="86" t="s">
        <v>8</v>
      </c>
      <c r="CT65">
        <f>COUNTIF(CI$8:CJ$69,CS65&amp;"x")</f>
        <v>0</v>
      </c>
      <c r="CU65">
        <f>COUNTIF(CO$8:CP$69,CS65&amp;3)</f>
        <v>0</v>
      </c>
      <c r="CV65">
        <f>COUNTIF(CO$8:CP$69,CS65&amp;1)</f>
        <v>0</v>
      </c>
      <c r="CW65">
        <f>COUNTIF(CO$8:CP$69,CS65&amp;0)</f>
        <v>0</v>
      </c>
      <c r="CX65" s="2">
        <f>SUMIF($AQ$37:$AQ$48,CS65,$AZ$37:$AZ$48)+SUMIF($AS$37:$AS$48,CS65,$BB$37:$BB$48)</f>
        <v>0</v>
      </c>
      <c r="CY65" s="2">
        <f>SUMIF($AQ$37:$AQ$48,CS65,$BB$37:$BB$48)+SUMIF($AS$37:$AS$48,CS65,$AZ$37:$AZ$48)</f>
        <v>0</v>
      </c>
      <c r="CZ65">
        <f>CX65-CY65</f>
        <v>0</v>
      </c>
      <c r="DA65">
        <f>SUMIF(CM$8:CM$69,CS65,CN$8:CN$69)+SUMIF(CK$8:CK$69,CS65,CL$8:CL$69)</f>
        <v>0</v>
      </c>
      <c r="DB65" s="9"/>
      <c r="DC65" t="str">
        <f>IF(COUNTIF($DA$62:$DA$65,DA65)&gt;1,"dV"&amp;DA65,"")</f>
        <v>dV0</v>
      </c>
      <c r="DD65" s="56">
        <f>DA65+(SUMIF($DO$62:$DO$67,DH65,$DP$62:$DP$67)+SUMIF($DQ$62:$DQ$67,DH65,$DR$62:$DR$67))/10</f>
        <v>0</v>
      </c>
      <c r="DE65" s="47">
        <f>DF65-DG65</f>
        <v>0</v>
      </c>
      <c r="DF65" s="47">
        <f>SUMIF($DO$62:$DO$67,DH65,$DS$62:$DS$67)+SUMIF($DQ$62:$DQ$67,DH65,$DT$62:$DT$67)</f>
        <v>0</v>
      </c>
      <c r="DG65" s="47">
        <f>SUMIF($DO$62:$DO$67,DH65,$DT$62:$DT$67)+SUMIF($DQ$62:$DQ$67,DH65,$DS$62:$DS$67)</f>
        <v>0</v>
      </c>
      <c r="DH65" t="str">
        <f>CS65&amp;"dV"</f>
        <v>TschechiendV</v>
      </c>
      <c r="DJ65" s="8" t="str">
        <f t="shared" si="114"/>
        <v>Türkei</v>
      </c>
      <c r="DK65" t="str">
        <f t="shared" si="120"/>
        <v>dV0</v>
      </c>
      <c r="DL65" t="str">
        <f t="shared" si="121"/>
        <v>Portugal</v>
      </c>
      <c r="DM65" t="str">
        <f t="shared" si="122"/>
        <v>dV0</v>
      </c>
      <c r="DN65" s="12" t="str">
        <f t="shared" si="115"/>
        <v>0</v>
      </c>
      <c r="DO65" t="str">
        <f t="shared" si="116"/>
        <v>TürkeidV</v>
      </c>
      <c r="DP65" t="str">
        <f t="shared" si="117"/>
        <v/>
      </c>
      <c r="DQ65" t="str">
        <f t="shared" si="118"/>
        <v>PortugaldV</v>
      </c>
      <c r="DR65" t="str">
        <f t="shared" si="119"/>
        <v/>
      </c>
      <c r="DS65">
        <f t="shared" si="123"/>
        <v>0</v>
      </c>
      <c r="DT65">
        <f t="shared" si="124"/>
        <v>0</v>
      </c>
    </row>
    <row r="66" spans="2:124" x14ac:dyDescent="0.2">
      <c r="B66" s="141" t="s">
        <v>687</v>
      </c>
      <c r="I66" s="2"/>
      <c r="L66" s="2"/>
      <c r="N66" s="2"/>
      <c r="O66" s="2"/>
      <c r="P66" s="2"/>
      <c r="R66" s="2"/>
      <c r="T66" s="2"/>
      <c r="W66" s="157" t="s">
        <v>199</v>
      </c>
      <c r="X66" s="157"/>
      <c r="Y66" s="157"/>
      <c r="Z66" s="157"/>
      <c r="AA66" s="157"/>
      <c r="AB66" s="157"/>
      <c r="AC66" s="157"/>
      <c r="AD66" s="157"/>
      <c r="AE66" s="157"/>
      <c r="AF66" s="157"/>
      <c r="AG66" s="157"/>
      <c r="AH66" s="157"/>
      <c r="AI66" s="157"/>
      <c r="AN66" s="46"/>
      <c r="CD66" s="2">
        <f>IF(OR(AZ41="",BB41=""),0,SUM(CF66:CH66))</f>
        <v>0</v>
      </c>
      <c r="CE66" s="11"/>
      <c r="CF66" t="str">
        <f>IF(AND(AZ41&amp;BB41=BD41&amp;BF41,BD41&amp;BF41&lt;&gt;"",AZ41&lt;&gt;"",BB41&lt;&gt;"",BD41&lt;&gt;"",BF41&lt;&gt;""),Spielregeln!$D$9,"")</f>
        <v/>
      </c>
      <c r="CG66" t="str">
        <f>IF(AND(CF66="",AZ41-BB41=BD41-BF41,BD41&amp;BF41&lt;&gt;"",AZ41&lt;&gt;"",BB41&lt;&gt;"",BD41&lt;&gt;"",BF41&lt;&gt;""),IF(OR(AND(AZ41=BB41,Spielregeln!$E$13="Tordifferenz"),AZ41&lt;&gt;BB41),Spielregeln!$D$10,""),"")</f>
        <v/>
      </c>
      <c r="CH66" t="str">
        <f>IF(OR(AZ41="",BB41="",BD41="",BF41=""),"",IF(AND(AZ41-BB41&gt;0,CF66="",CG66="",BD41-BF41&gt;0),Spielregeln!$D$11,IF(AND(AZ41-BB41=0,CF66="",CG66="",BD41-BF41=0,BD41&amp;BF41&lt;&gt;""),Spielregeln!$D$11,IF(AND(AZ41-BB41&lt;0,CF66="",CG66="",BD41-BF41&lt;0),Spielregeln!$D$11,""))))</f>
        <v/>
      </c>
      <c r="CI66" t="str">
        <f>IF(AND(AZ41&lt;&gt;"",BB41&lt;&gt;""),AQ41&amp;"x","")</f>
        <v/>
      </c>
      <c r="CJ66" t="str">
        <f>IF(AND(AZ41&lt;&gt;"",BB41&lt;&gt;""),AS41&amp;"x","")</f>
        <v/>
      </c>
      <c r="CK66" t="str">
        <f>AQ41</f>
        <v>Georgien</v>
      </c>
      <c r="CL66" t="str">
        <f>IF(AND(AZ41&gt;BB41,AZ41&lt;&gt;"",BB41&lt;&gt;""),3,IF(AND(AZ41=BB41,AZ41&lt;&gt;"",BB41&lt;&gt;""),1,IF(OR(AZ41="",BB41=""),"",0)))</f>
        <v/>
      </c>
      <c r="CM66" t="str">
        <f>AS41</f>
        <v>Tschechien</v>
      </c>
      <c r="CN66" t="str">
        <f>IF(AND(AZ41&lt;BB41,AZ41&lt;&gt;"",BB41&lt;&gt;""),3,IF(AND(AZ41=BB41,AZ41&lt;&gt;"",BB41&lt;&gt;""),1,IF(OR(AZ41="",BB41=""),"",0)))</f>
        <v/>
      </c>
      <c r="CO66" t="str">
        <f t="shared" ref="CO66" si="129">CK66&amp;CL66</f>
        <v>Georgien</v>
      </c>
      <c r="CP66" t="str">
        <f t="shared" ref="CP66" si="130">CM66&amp;CN66</f>
        <v>Tschechien</v>
      </c>
      <c r="CQ66" s="12" t="str">
        <f>IF(AZ41&gt;BB41,1,IF(AND(AZ41=BB41,AZ41&lt;&gt;"",BB41&lt;&gt;""),0,IF(AZ41&lt;BB41,2,"")))</f>
        <v/>
      </c>
      <c r="DJ66" s="8" t="str">
        <f t="shared" si="114"/>
        <v>Georgien</v>
      </c>
      <c r="DK66" t="str">
        <f t="shared" si="120"/>
        <v>dV0</v>
      </c>
      <c r="DL66" t="str">
        <f t="shared" si="121"/>
        <v>Portugal</v>
      </c>
      <c r="DM66" t="str">
        <f t="shared" si="122"/>
        <v>dV0</v>
      </c>
      <c r="DN66" s="12" t="str">
        <f t="shared" si="115"/>
        <v>0</v>
      </c>
      <c r="DO66" t="str">
        <f t="shared" si="116"/>
        <v>GeorgiendV</v>
      </c>
      <c r="DP66" t="str">
        <f t="shared" si="117"/>
        <v/>
      </c>
      <c r="DQ66" t="str">
        <f t="shared" si="118"/>
        <v>PortugaldV</v>
      </c>
      <c r="DR66" t="str">
        <f t="shared" si="119"/>
        <v/>
      </c>
      <c r="DS66">
        <f t="shared" si="123"/>
        <v>0</v>
      </c>
      <c r="DT66">
        <f t="shared" si="124"/>
        <v>0</v>
      </c>
    </row>
    <row r="67" spans="2:124" x14ac:dyDescent="0.2">
      <c r="I67" s="2"/>
      <c r="L67" s="2"/>
      <c r="N67" s="2"/>
      <c r="O67" s="2"/>
      <c r="P67" s="2"/>
      <c r="R67" s="2"/>
      <c r="T67" s="197"/>
      <c r="X67" s="202"/>
      <c r="Y67" s="202"/>
      <c r="Z67" s="202"/>
      <c r="AA67" s="202"/>
      <c r="AE67" t="str">
        <f>IF(C59&lt;&gt;"",C59,"")</f>
        <v/>
      </c>
      <c r="AN67" s="46"/>
      <c r="CD67" s="2">
        <f>IF(OR(AZ43="",BB43=""),0,SUM(CF67:CH67))</f>
        <v>0</v>
      </c>
      <c r="CE67" s="11"/>
      <c r="CF67" t="str">
        <f>IF(AND(AZ43&amp;BB43=BD43&amp;BF43,BD43&amp;BF43&lt;&gt;"",AZ43&lt;&gt;"",BB43&lt;&gt;"",BD43&lt;&gt;"",BF43&lt;&gt;""),Spielregeln!$D$9,"")</f>
        <v/>
      </c>
      <c r="CG67" t="str">
        <f>IF(AND(CF67="",AZ43-BB43=BD43-BF43,BD43&amp;BF43&lt;&gt;"",AZ43&lt;&gt;"",BB43&lt;&gt;"",BD43&lt;&gt;"",BF43&lt;&gt;""),IF(OR(AND(AZ43=BB43,Spielregeln!$E$13="Tordifferenz"),AZ43&lt;&gt;BB43),Spielregeln!$D$10,""),"")</f>
        <v/>
      </c>
      <c r="CH67" t="str">
        <f>IF(OR(AZ43="",BB43="",BD43="",BF43=""),"",IF(AND(AZ43-BB43&gt;0,CF67="",CG67="",BD43-BF43&gt;0),Spielregeln!$D$11,IF(AND(AZ43-BB43=0,CF67="",CG67="",BD43-BF43=0,BD43&amp;BF43&lt;&gt;""),Spielregeln!$D$11,IF(AND(AZ43-BB43&lt;0,CF67="",CG67="",BD43-BF43&lt;0),Spielregeln!$D$11,""))))</f>
        <v/>
      </c>
      <c r="CI67" t="str">
        <f>IF(AND(AZ43&lt;&gt;"",BB43&lt;&gt;""),AQ43&amp;"x","")</f>
        <v/>
      </c>
      <c r="CJ67" t="str">
        <f>IF(AND(AZ43&lt;&gt;"",BB43&lt;&gt;""),AS43&amp;"x","")</f>
        <v/>
      </c>
      <c r="CK67" t="str">
        <f>AQ43</f>
        <v>Türkei</v>
      </c>
      <c r="CL67" t="str">
        <f>IF(AND(AZ43&gt;BB43,AZ43&lt;&gt;"",BB43&lt;&gt;""),3,IF(AND(AZ43=BB43,AZ43&lt;&gt;"",BB43&lt;&gt;""),1,IF(OR(AZ43="",BB43=""),"",0)))</f>
        <v/>
      </c>
      <c r="CM67" t="str">
        <f>AS43</f>
        <v>Portugal</v>
      </c>
      <c r="CN67" t="str">
        <f>IF(AND(AZ43&lt;BB43,AZ43&lt;&gt;"",BB43&lt;&gt;""),3,IF(AND(AZ43=BB43,AZ43&lt;&gt;"",BB43&lt;&gt;""),1,IF(OR(AZ43="",BB43=""),"",0)))</f>
        <v/>
      </c>
      <c r="CO67" t="str">
        <f t="shared" ref="CO67" si="131">CK67&amp;CL67</f>
        <v>Türkei</v>
      </c>
      <c r="CP67" t="str">
        <f t="shared" ref="CP67" si="132">CM67&amp;CN67</f>
        <v>Portugal</v>
      </c>
      <c r="CQ67" s="12" t="str">
        <f>IF(AZ43&gt;BB43,1,IF(AND(AZ43=BB43,AZ43&lt;&gt;"",BB43&lt;&gt;""),0,IF(AZ43&lt;BB43,2,"")))</f>
        <v/>
      </c>
      <c r="DJ67" s="57" t="str">
        <f t="shared" si="114"/>
        <v>Tschechien</v>
      </c>
      <c r="DK67" s="14" t="str">
        <f t="shared" si="120"/>
        <v>dV0</v>
      </c>
      <c r="DL67" s="14" t="str">
        <f t="shared" si="121"/>
        <v>Türkei</v>
      </c>
      <c r="DM67" s="14" t="str">
        <f t="shared" si="122"/>
        <v>dV0</v>
      </c>
      <c r="DN67" s="15" t="str">
        <f t="shared" si="115"/>
        <v>0</v>
      </c>
      <c r="DO67" t="str">
        <f t="shared" si="116"/>
        <v>TschechiendV</v>
      </c>
      <c r="DP67" t="str">
        <f t="shared" si="117"/>
        <v/>
      </c>
      <c r="DQ67" t="str">
        <f t="shared" si="118"/>
        <v>TürkeidV</v>
      </c>
      <c r="DR67" t="str">
        <f t="shared" si="119"/>
        <v/>
      </c>
      <c r="DS67">
        <f t="shared" si="123"/>
        <v>0</v>
      </c>
      <c r="DT67">
        <f t="shared" si="124"/>
        <v>0</v>
      </c>
    </row>
    <row r="68" spans="2:124" x14ac:dyDescent="0.2">
      <c r="B68" s="36" t="s">
        <v>190</v>
      </c>
      <c r="C68" t="str">
        <f>IF(AE60&lt;&gt;"",AQ23,"")</f>
        <v/>
      </c>
      <c r="E68" t="str">
        <f>IF(SUM(CT7:CT65)=72,CV112,"")</f>
        <v/>
      </c>
      <c r="I68" s="196"/>
      <c r="L68" s="194"/>
      <c r="M68" s="2" t="s">
        <v>20</v>
      </c>
      <c r="N68" s="194"/>
      <c r="O68" s="2"/>
      <c r="P68" s="195"/>
      <c r="Q68" s="2" t="s">
        <v>20</v>
      </c>
      <c r="R68" s="195"/>
      <c r="T68" s="197">
        <f>CD78</f>
        <v>0</v>
      </c>
      <c r="X68" s="202"/>
      <c r="Y68" s="202"/>
      <c r="Z68" s="202"/>
      <c r="AA68" s="202"/>
      <c r="AE68" t="str">
        <f>IF(E59&lt;&gt;"",E59,"")</f>
        <v/>
      </c>
      <c r="AN68" s="46"/>
      <c r="CD68" s="2">
        <f>IF(OR(AZ45="",BB45=""),0,SUM(CF68:CH68))</f>
        <v>0</v>
      </c>
      <c r="CE68" s="11"/>
      <c r="CF68" t="str">
        <f>IF(AND(AZ45&amp;BB45=BD45&amp;BF45,BD45&amp;BF45&lt;&gt;"",AZ45&lt;&gt;"",BB45&lt;&gt;"",BD45&lt;&gt;"",BF45&lt;&gt;""),Spielregeln!$D$9,"")</f>
        <v/>
      </c>
      <c r="CG68" t="str">
        <f>IF(AND(CF68="",AZ45-BB45=BD45-BF45,BD45&amp;BF45&lt;&gt;"",AZ45&lt;&gt;"",BB45&lt;&gt;"",BD45&lt;&gt;"",BF45&lt;&gt;""),IF(OR(AND(AZ45=BB45,Spielregeln!$E$13="Tordifferenz"),AZ45&lt;&gt;BB45),Spielregeln!$D$10,""),"")</f>
        <v/>
      </c>
      <c r="CH68" t="str">
        <f>IF(OR(AZ45="",BB45="",BD45="",BF45=""),"",IF(AND(AZ45-BB45&gt;0,CF68="",CG68="",BD45-BF45&gt;0),Spielregeln!$D$11,IF(AND(AZ45-BB45=0,CF68="",CG68="",BD45-BF45=0,BD45&amp;BF45&lt;&gt;""),Spielregeln!$D$11,IF(AND(AZ45-BB45&lt;0,CF68="",CG68="",BD45-BF45&lt;0),Spielregeln!$D$11,""))))</f>
        <v/>
      </c>
      <c r="CI68" t="str">
        <f>IF(AND(AZ45&lt;&gt;"",BB45&lt;&gt;""),AQ45&amp;"x","")</f>
        <v/>
      </c>
      <c r="CJ68" t="str">
        <f>IF(AND(AZ45&lt;&gt;"",BB45&lt;&gt;""),AS45&amp;"x","")</f>
        <v/>
      </c>
      <c r="CK68" t="str">
        <f>AQ45</f>
        <v>Georgien</v>
      </c>
      <c r="CL68" t="str">
        <f>IF(AND(AZ45&gt;BB45,AZ45&lt;&gt;"",BB45&lt;&gt;""),3,IF(AND(AZ45=BB45,AZ45&lt;&gt;"",BB45&lt;&gt;""),1,IF(OR(AZ45="",BB45=""),"",0)))</f>
        <v/>
      </c>
      <c r="CM68" t="str">
        <f>AS45</f>
        <v>Portugal</v>
      </c>
      <c r="CN68" t="str">
        <f>IF(AND(AZ45&lt;BB45,AZ45&lt;&gt;"",BB45&lt;&gt;""),3,IF(AND(AZ45=BB45,AZ45&lt;&gt;"",BB45&lt;&gt;""),1,IF(OR(AZ45="",BB45=""),"",0)))</f>
        <v/>
      </c>
      <c r="CO68" t="str">
        <f t="shared" ref="CO68" si="133">CK68&amp;CL68</f>
        <v>Georgien</v>
      </c>
      <c r="CP68" t="str">
        <f t="shared" ref="CP68" si="134">CM68&amp;CN68</f>
        <v>Portugal</v>
      </c>
      <c r="CQ68" s="12" t="str">
        <f>IF(AZ45&gt;BB45,1,IF(AND(AZ45=BB45,AZ45&lt;&gt;"",BB45&lt;&gt;""),0,IF(AZ45&lt;BB45,2,"")))</f>
        <v/>
      </c>
    </row>
    <row r="69" spans="2:124" x14ac:dyDescent="0.2">
      <c r="B69" s="141" t="s">
        <v>688</v>
      </c>
      <c r="I69" s="2"/>
      <c r="L69" s="2"/>
      <c r="N69" s="2"/>
      <c r="O69" s="2"/>
      <c r="P69" s="2"/>
      <c r="R69" s="2"/>
      <c r="T69" s="197"/>
      <c r="X69" s="202"/>
      <c r="Y69" s="202"/>
      <c r="Z69" s="202"/>
      <c r="AA69" s="202"/>
      <c r="AE69" t="str">
        <f>IF(C62&lt;&gt;"",C62,"")</f>
        <v/>
      </c>
      <c r="AN69" s="46"/>
      <c r="CD69" s="2">
        <f>IF(OR(AZ47="",BB47=""),0,SUM(CF69:CH69))</f>
        <v>0</v>
      </c>
      <c r="CE69" s="13"/>
      <c r="CF69" s="14" t="str">
        <f>IF(AND(AZ47&amp;BB47=BD47&amp;BF47,BD47&amp;BF47&lt;&gt;"",AZ47&lt;&gt;"",BB47&lt;&gt;"",BD47&lt;&gt;"",BF47&lt;&gt;""),Spielregeln!$D$9,"")</f>
        <v/>
      </c>
      <c r="CG69" s="14" t="str">
        <f>IF(AND(CF69="",AZ47-BB47=BD47-BF47,BD47&amp;BF47&lt;&gt;"",AZ47&lt;&gt;"",BB47&lt;&gt;"",BD47&lt;&gt;"",BF47&lt;&gt;""),IF(OR(AND(AZ47=BB47,Spielregeln!$E$13="Tordifferenz"),AZ47&lt;&gt;BB47),Spielregeln!$D$10,""),"")</f>
        <v/>
      </c>
      <c r="CH69" s="14" t="str">
        <f>IF(OR(AZ47="",BB47="",BD47="",BF47=""),"",IF(AND(AZ47-BB47&gt;0,CF69="",CG69="",BD47-BF47&gt;0),Spielregeln!$D$11,IF(AND(AZ47-BB47=0,CF69="",CG69="",BD47-BF47=0,BD47&amp;BF47&lt;&gt;""),Spielregeln!$D$11,IF(AND(AZ47-BB47&lt;0,CF69="",CG69="",BD47-BF47&lt;0),Spielregeln!$D$11,""))))</f>
        <v/>
      </c>
      <c r="CI69" s="14" t="str">
        <f>IF(AND(AZ47&lt;&gt;"",BB47&lt;&gt;""),AQ47&amp;"x","")</f>
        <v/>
      </c>
      <c r="CJ69" s="14" t="str">
        <f>IF(AND(AZ47&lt;&gt;"",BB47&lt;&gt;""),AS47&amp;"x","")</f>
        <v/>
      </c>
      <c r="CK69" s="14" t="str">
        <f>AQ47</f>
        <v>Tschechien</v>
      </c>
      <c r="CL69" s="14" t="str">
        <f>IF(AND(AZ47&gt;BB47,AZ47&lt;&gt;"",BB47&lt;&gt;""),3,IF(AND(AZ47=BB47,AZ47&lt;&gt;"",BB47&lt;&gt;""),1,IF(OR(AZ47="",BB47=""),"",0)))</f>
        <v/>
      </c>
      <c r="CM69" s="14" t="str">
        <f>AS47</f>
        <v>Türkei</v>
      </c>
      <c r="CN69" s="14" t="str">
        <f>IF(AND(AZ47&lt;BB47,AZ47&lt;&gt;"",BB47&lt;&gt;""),3,IF(AND(AZ47=BB47,AZ47&lt;&gt;"",BB47&lt;&gt;""),1,IF(OR(AZ47="",BB47=""),"",0)))</f>
        <v/>
      </c>
      <c r="CO69" s="14" t="str">
        <f t="shared" ref="CO69" si="135">CK69&amp;CL69</f>
        <v>Tschechien</v>
      </c>
      <c r="CP69" s="14" t="str">
        <f t="shared" ref="CP69" si="136">CM69&amp;CN69</f>
        <v>Türkei</v>
      </c>
      <c r="CQ69" s="15" t="str">
        <f>IF(AZ47&gt;BB47,1,IF(AND(AZ47=BB47,AZ47&lt;&gt;"",BB47&lt;&gt;""),0,IF(AZ47&lt;BB47,2,"")))</f>
        <v/>
      </c>
    </row>
    <row r="70" spans="2:124" x14ac:dyDescent="0.2">
      <c r="I70" s="2"/>
      <c r="L70" s="2"/>
      <c r="N70" s="2"/>
      <c r="O70" s="2"/>
      <c r="P70" s="2"/>
      <c r="R70" s="2"/>
      <c r="T70" s="2"/>
      <c r="X70" s="202"/>
      <c r="Y70" s="202"/>
      <c r="Z70" s="202"/>
      <c r="AA70" s="202"/>
      <c r="AE70" t="str">
        <f>IF(E62&lt;&gt;"",E62,"")</f>
        <v/>
      </c>
      <c r="AN70" s="46"/>
    </row>
    <row r="71" spans="2:124" x14ac:dyDescent="0.2">
      <c r="B71" s="36" t="s">
        <v>191</v>
      </c>
      <c r="C71" t="str">
        <f>IF(AE63&lt;&gt;"",AQ51,"")</f>
        <v/>
      </c>
      <c r="E71" t="str">
        <f>IF(SUM(CT7:CT65)=72,CV113,"")</f>
        <v/>
      </c>
      <c r="I71" s="196"/>
      <c r="L71" s="194"/>
      <c r="M71" s="2" t="s">
        <v>20</v>
      </c>
      <c r="N71" s="194"/>
      <c r="O71" s="2"/>
      <c r="P71" s="195"/>
      <c r="Q71" s="2" t="s">
        <v>20</v>
      </c>
      <c r="R71" s="195"/>
      <c r="T71" s="197">
        <f>CD79</f>
        <v>0</v>
      </c>
      <c r="X71" s="202"/>
      <c r="Y71" s="202"/>
      <c r="Z71" s="202"/>
      <c r="AA71" s="202"/>
      <c r="AE71" t="str">
        <f>IF(C65&lt;&gt;"",C65,"")</f>
        <v/>
      </c>
      <c r="AN71" s="46"/>
      <c r="CE71" s="83"/>
      <c r="CG71" s="118"/>
      <c r="CW71" s="83" t="s">
        <v>38</v>
      </c>
      <c r="CX71" s="83" t="s">
        <v>39</v>
      </c>
      <c r="CY71" s="83" t="s">
        <v>198</v>
      </c>
      <c r="CZ71" s="83" t="s">
        <v>98</v>
      </c>
    </row>
    <row r="72" spans="2:124" x14ac:dyDescent="0.2">
      <c r="B72" s="141" t="s">
        <v>689</v>
      </c>
      <c r="I72" s="2"/>
      <c r="L72" s="2"/>
      <c r="N72" s="2"/>
      <c r="O72" s="2"/>
      <c r="P72" s="2"/>
      <c r="R72" s="2"/>
      <c r="T72" s="2"/>
      <c r="X72" s="202"/>
      <c r="Y72" s="202"/>
      <c r="Z72" s="202"/>
      <c r="AA72" s="202"/>
      <c r="AE72" t="str">
        <f>IF(E65&lt;&gt;"",E65,"")</f>
        <v/>
      </c>
      <c r="AN72" s="46"/>
      <c r="CD72" s="83" t="s">
        <v>186</v>
      </c>
      <c r="CE72" s="105"/>
      <c r="CF72" s="204" t="s">
        <v>36</v>
      </c>
      <c r="CG72" s="204"/>
      <c r="CH72" s="205"/>
      <c r="CU72" s="119"/>
      <c r="CV72" s="120"/>
      <c r="CW72" s="120" t="s">
        <v>424</v>
      </c>
      <c r="CX72" s="120" t="s">
        <v>425</v>
      </c>
      <c r="CY72" s="120" t="s">
        <v>512</v>
      </c>
      <c r="CZ72" s="121" t="s">
        <v>513</v>
      </c>
      <c r="DA72" s="122"/>
      <c r="DB72" s="122"/>
      <c r="DC72" s="122"/>
    </row>
    <row r="73" spans="2:124" x14ac:dyDescent="0.2">
      <c r="I73" s="2"/>
      <c r="L73" s="2"/>
      <c r="N73" s="2"/>
      <c r="O73" s="2"/>
      <c r="P73" s="2"/>
      <c r="R73" s="2"/>
      <c r="T73" s="2"/>
      <c r="X73" s="202"/>
      <c r="Y73" s="202"/>
      <c r="Z73" s="202"/>
      <c r="AA73" s="202"/>
      <c r="AE73" t="str">
        <f>IF(C68&lt;&gt;"",C68,"")</f>
        <v/>
      </c>
      <c r="AN73" s="46"/>
      <c r="CE73" s="106"/>
      <c r="CF73" s="9" t="s">
        <v>12</v>
      </c>
      <c r="CG73" s="9" t="s">
        <v>25</v>
      </c>
      <c r="CH73" s="107" t="s">
        <v>26</v>
      </c>
      <c r="CU73" s="123" t="s">
        <v>426</v>
      </c>
      <c r="CV73" s="122">
        <v>7</v>
      </c>
      <c r="CW73" s="127" t="str">
        <f>$CU$91</f>
        <v/>
      </c>
      <c r="CX73" s="134" t="str">
        <f>$CU$94</f>
        <v/>
      </c>
      <c r="CY73" s="129" t="str">
        <f>$CU$92</f>
        <v/>
      </c>
      <c r="CZ73" s="132" t="str">
        <f>$CU$93</f>
        <v/>
      </c>
      <c r="DA73" s="122"/>
      <c r="DB73" s="122"/>
      <c r="DC73" s="122"/>
    </row>
    <row r="74" spans="2:124" x14ac:dyDescent="0.2">
      <c r="B74" s="36" t="s">
        <v>192</v>
      </c>
      <c r="C74" t="str">
        <f>IF(AE61&lt;&gt;"",C52,"")</f>
        <v/>
      </c>
      <c r="E74" t="str">
        <f>IF(AE62&lt;&gt;"",W52,"")</f>
        <v/>
      </c>
      <c r="I74" s="196"/>
      <c r="L74" s="194"/>
      <c r="M74" s="2" t="s">
        <v>20</v>
      </c>
      <c r="N74" s="194"/>
      <c r="O74" s="2"/>
      <c r="P74" s="195"/>
      <c r="Q74" s="2" t="s">
        <v>20</v>
      </c>
      <c r="R74" s="195"/>
      <c r="T74" s="197">
        <f>CD80</f>
        <v>0</v>
      </c>
      <c r="X74" s="202"/>
      <c r="Y74" s="202"/>
      <c r="Z74" s="202"/>
      <c r="AA74" s="202"/>
      <c r="AE74" t="str">
        <f>IF(E68&lt;&gt;"",E68,"")</f>
        <v/>
      </c>
      <c r="AN74" s="46"/>
      <c r="CE74" s="106"/>
      <c r="CH74" s="109"/>
      <c r="CU74" s="123" t="s">
        <v>427</v>
      </c>
      <c r="CV74" s="122">
        <v>11</v>
      </c>
      <c r="CW74" s="127" t="str">
        <f>$CU$91</f>
        <v/>
      </c>
      <c r="CX74" s="136" t="str">
        <f>$CU$95</f>
        <v/>
      </c>
      <c r="CY74" s="129" t="str">
        <f>$CU$92</f>
        <v/>
      </c>
      <c r="CZ74" s="132" t="str">
        <f>$CU$93</f>
        <v/>
      </c>
      <c r="DA74" s="122"/>
      <c r="DB74" s="122"/>
      <c r="DC74" s="122"/>
    </row>
    <row r="75" spans="2:124" x14ac:dyDescent="0.2">
      <c r="B75" s="141" t="s">
        <v>690</v>
      </c>
      <c r="I75" s="2"/>
      <c r="L75" s="2"/>
      <c r="N75" s="2"/>
      <c r="O75" s="2"/>
      <c r="P75" s="2"/>
      <c r="R75" s="2"/>
      <c r="T75" s="197"/>
      <c r="X75" s="202"/>
      <c r="Y75" s="202"/>
      <c r="Z75" s="202"/>
      <c r="AA75" s="202"/>
      <c r="AE75" t="str">
        <f>IF(C71&lt;&gt;"",C71,"")</f>
        <v/>
      </c>
      <c r="AN75" s="46"/>
      <c r="CD75" s="2">
        <f>IF(AND(L59="",N59=""),0,SUM(CF75:CH75))</f>
        <v>0</v>
      </c>
      <c r="CE75" s="108"/>
      <c r="CF75" t="str">
        <f>IF(AND(L59&amp;N59=P59&amp;R59,P59&amp;R59&lt;&gt;"",L59&lt;&gt;"",N59&lt;&gt;"",P59&lt;&gt;"",R59&lt;&gt;""),Spielregeln!$F$9,"")</f>
        <v/>
      </c>
      <c r="CG75" t="str">
        <f>IF(AND(CF75="",L59-N59=P59-R59,P59&amp;R59&lt;&gt;"",L59&lt;&gt;"",N59&lt;&gt;"",P59&lt;&gt;"",R59&lt;&gt;""),IF(OR(AND(L59=N59,Spielregeln!$E$13="Tordifferenz"),L59&lt;&gt;N59),Spielregeln!$F$10,""),"")</f>
        <v/>
      </c>
      <c r="CH75" s="109" t="str">
        <f>IF(OR(L59="",N59="",P59="",R59=""),"",IF(AND(L59-N59&gt;0,CF75="",CG75="",P59-R59&gt;0),Spielregeln!$F$11,IF(AND(L59-N59=0,CF75="",CG75="",P59-R59=0,P59&amp;R59&lt;&gt;""),Spielregeln!$F$11,IF(AND(L59-N59&lt;0,CF75="",CG75="",P59-R59&lt;0),Spielregeln!$F$11,""))))</f>
        <v/>
      </c>
      <c r="CU75" s="123" t="s">
        <v>428</v>
      </c>
      <c r="CV75" s="122">
        <v>19</v>
      </c>
      <c r="CW75" s="127" t="str">
        <f>$CU$91</f>
        <v/>
      </c>
      <c r="CX75" s="138" t="str">
        <f>$CU$96</f>
        <v/>
      </c>
      <c r="CY75" s="129" t="str">
        <f>$CU$92</f>
        <v/>
      </c>
      <c r="CZ75" s="132" t="str">
        <f>$CU$93</f>
        <v/>
      </c>
      <c r="DA75" s="122"/>
      <c r="DB75" s="122"/>
      <c r="DC75" s="122"/>
    </row>
    <row r="76" spans="2:124" x14ac:dyDescent="0.2">
      <c r="I76" s="2"/>
      <c r="L76" s="2"/>
      <c r="N76" s="2"/>
      <c r="O76" s="2"/>
      <c r="P76" s="2"/>
      <c r="R76" s="2"/>
      <c r="T76" s="197"/>
      <c r="X76" s="202"/>
      <c r="Y76" s="202"/>
      <c r="Z76" s="202"/>
      <c r="AA76" s="202"/>
      <c r="AE76" t="str">
        <f>IF(E71&lt;&gt;"",E71,"")</f>
        <v/>
      </c>
      <c r="AN76" s="46"/>
      <c r="CD76" s="2">
        <f>IF(AND(L62="",N62=""),0,SUM(CF76:CH76))</f>
        <v>0</v>
      </c>
      <c r="CE76" s="108"/>
      <c r="CF76" t="str">
        <f>IF(AND(L62&amp;N62=P62&amp;R62,P62&amp;R62&lt;&gt;"",L62&lt;&gt;"",N62&lt;&gt;"",P62&lt;&gt;"",R62&lt;&gt;""),Spielregeln!$F$9,"")</f>
        <v/>
      </c>
      <c r="CG76" t="str">
        <f>IF(AND(CF76="",L62-N62=P62-R62,P62&amp;R62&lt;&gt;"",L62&lt;&gt;"",N62&lt;&gt;"",P62&lt;&gt;"",R62&lt;&gt;""),IF(OR(AND(L62=N62,Spielregeln!$E$13="Tordifferenz"),L62&lt;&gt;N62),Spielregeln!$F$10,""),"")</f>
        <v/>
      </c>
      <c r="CH76" s="109" t="str">
        <f>IF(OR(L62="",N62="",P62="",R62=""),"",IF(AND(L62-N62&gt;0,CF76="",CG76="",P62-R62&gt;0),Spielregeln!$F$11,IF(AND(L62-N62=0,CF76="",CG76="",P62-R62=0,P62&amp;R62&lt;&gt;""),Spielregeln!$F$11,IF(AND(L62-N62&lt;0,CF76="",CG76="",P62-R62&lt;0),Spielregeln!$F$11,""))))</f>
        <v/>
      </c>
      <c r="CU76" s="123" t="s">
        <v>429</v>
      </c>
      <c r="CV76" s="122">
        <v>13</v>
      </c>
      <c r="CW76" s="134" t="str">
        <f>$CU$94</f>
        <v/>
      </c>
      <c r="CX76" s="136" t="str">
        <f>$CU$95</f>
        <v/>
      </c>
      <c r="CY76" s="127" t="str">
        <f>$CU$91</f>
        <v/>
      </c>
      <c r="CZ76" s="130" t="str">
        <f>$CU$92</f>
        <v/>
      </c>
      <c r="DA76" s="122"/>
      <c r="DB76" s="122"/>
      <c r="DC76" s="122"/>
    </row>
    <row r="77" spans="2:124" x14ac:dyDescent="0.2">
      <c r="B77" s="36" t="s">
        <v>193</v>
      </c>
      <c r="C77" t="str">
        <f>IF(AE62&lt;&gt;"",W51,"")</f>
        <v/>
      </c>
      <c r="E77" t="str">
        <f>IF(SUM(CT7:CT65)=72,CV114,"")</f>
        <v/>
      </c>
      <c r="I77" s="196"/>
      <c r="L77" s="194"/>
      <c r="M77" s="2" t="s">
        <v>20</v>
      </c>
      <c r="N77" s="194"/>
      <c r="O77" s="2"/>
      <c r="P77" s="195"/>
      <c r="Q77" s="2" t="s">
        <v>20</v>
      </c>
      <c r="R77" s="195"/>
      <c r="T77" s="197">
        <f>CD81</f>
        <v>0</v>
      </c>
      <c r="X77" s="202"/>
      <c r="Y77" s="202"/>
      <c r="Z77" s="202"/>
      <c r="AA77" s="202"/>
      <c r="AE77" t="str">
        <f>IF(C74&lt;&gt;"",C74,"")</f>
        <v/>
      </c>
      <c r="AN77" s="46"/>
      <c r="CD77" s="2">
        <f>IF(AND(L65="",N65=""),0,SUM(CF77:CH77))</f>
        <v>0</v>
      </c>
      <c r="CE77" s="108"/>
      <c r="CF77" t="str">
        <f>IF(AND(L65&amp;N65=P65&amp;R65,P65&amp;R65&lt;&gt;"",L65&lt;&gt;"",N65&lt;&gt;"",P65&lt;&gt;"",R65&lt;&gt;""),Spielregeln!$F$9,"")</f>
        <v/>
      </c>
      <c r="CG77" t="str">
        <f>IF(AND(CF77="",L65-N65=P65-R65,P65&amp;R65&lt;&gt;"",L65&lt;&gt;"",N65&lt;&gt;"",P65&lt;&gt;"",R65&lt;&gt;""),IF(OR(AND(L65=N65,Spielregeln!$E$13="Tordifferenz"),L65&lt;&gt;N65),Spielregeln!$F$10,""),"")</f>
        <v/>
      </c>
      <c r="CH77" s="109" t="str">
        <f>IF(OR(L65="",N65="",P65="",R65=""),"",IF(AND(L65-N65&gt;0,CF77="",CG77="",P65-R65&gt;0),Spielregeln!$F$11,IF(AND(L65-N65=0,CF77="",CG77="",P65-R65=0,P65&amp;R65&lt;&gt;""),Spielregeln!$F$11,IF(AND(L65-N65&lt;0,CF77="",CG77="",P65-R65&lt;0),Spielregeln!$F$11,""))))</f>
        <v/>
      </c>
      <c r="CU77" s="123" t="s">
        <v>430</v>
      </c>
      <c r="CV77" s="122">
        <v>21</v>
      </c>
      <c r="CW77" s="134" t="str">
        <f>$CU$94</f>
        <v/>
      </c>
      <c r="CX77" s="138" t="str">
        <f>$CU$96</f>
        <v/>
      </c>
      <c r="CY77" s="127" t="str">
        <f>$CU$91</f>
        <v/>
      </c>
      <c r="CZ77" s="130" t="str">
        <f>$CU$92</f>
        <v/>
      </c>
      <c r="DA77" s="122"/>
      <c r="DB77" s="122"/>
      <c r="DC77" s="122"/>
    </row>
    <row r="78" spans="2:124" x14ac:dyDescent="0.2">
      <c r="B78" s="141" t="s">
        <v>691</v>
      </c>
      <c r="I78" s="2"/>
      <c r="L78" s="2"/>
      <c r="N78" s="2"/>
      <c r="O78" s="2"/>
      <c r="P78" s="2"/>
      <c r="R78" s="2"/>
      <c r="T78" s="197"/>
      <c r="X78" s="202"/>
      <c r="Y78" s="202"/>
      <c r="Z78" s="202"/>
      <c r="AA78" s="202"/>
      <c r="AE78" t="str">
        <f>IF(E74&lt;&gt;"",E74,"")</f>
        <v/>
      </c>
      <c r="AN78" s="46"/>
      <c r="CD78" s="2">
        <f>IF(AND(L68="",N68=""),0,SUM(CF78:CH78))</f>
        <v>0</v>
      </c>
      <c r="CE78" s="108"/>
      <c r="CF78" t="str">
        <f>IF(AND(L68&amp;N68=P68&amp;R68,P68&amp;R68&lt;&gt;"",L68&lt;&gt;"",N68&lt;&gt;"",P68&lt;&gt;"",R68&lt;&gt;""),Spielregeln!$F$9,"")</f>
        <v/>
      </c>
      <c r="CG78" t="str">
        <f>IF(AND(CF78="",L68-N68=P68-R68,P68&amp;R68&lt;&gt;"",L68&lt;&gt;"",N68&lt;&gt;"",P68&lt;&gt;"",R68&lt;&gt;""),IF(OR(AND(L68=N68,Spielregeln!$E$13="Tordifferenz"),L68&lt;&gt;N68),Spielregeln!$F$10,""),"")</f>
        <v/>
      </c>
      <c r="CH78" s="109" t="str">
        <f>IF(OR(L68="",N68="",P68="",R68=""),"",IF(AND(L68-N68&gt;0,CF78="",CG78="",P68-R68&gt;0),Spielregeln!$F$11,IF(AND(L68-N68=0,CF78="",CG78="",P68-R68=0,P68&amp;R68&lt;&gt;""),Spielregeln!$F$11,IF(AND(L68-N68&lt;0,CF78="",CG78="",P68-R68&lt;0),Spielregeln!$F$11,""))))</f>
        <v/>
      </c>
      <c r="CU78" s="123" t="s">
        <v>431</v>
      </c>
      <c r="CV78" s="122">
        <v>25</v>
      </c>
      <c r="CW78" s="136" t="str">
        <f>$CU$95</f>
        <v/>
      </c>
      <c r="CX78" s="138" t="str">
        <f>$CU$96</f>
        <v/>
      </c>
      <c r="CY78" s="129" t="str">
        <f>$CU$92</f>
        <v/>
      </c>
      <c r="CZ78" s="128" t="str">
        <f>$CU$91</f>
        <v/>
      </c>
      <c r="DA78" s="122"/>
      <c r="DB78" s="122"/>
      <c r="DC78" s="122"/>
    </row>
    <row r="79" spans="2:124" x14ac:dyDescent="0.2">
      <c r="I79" s="2"/>
      <c r="L79" s="2"/>
      <c r="N79" s="2"/>
      <c r="O79" s="2"/>
      <c r="P79" s="2"/>
      <c r="R79" s="2"/>
      <c r="T79" s="197"/>
      <c r="X79" s="202"/>
      <c r="Y79" s="202"/>
      <c r="Z79" s="202"/>
      <c r="AA79" s="202"/>
      <c r="AE79" t="str">
        <f>IF(C77&lt;&gt;"",C77,"")</f>
        <v/>
      </c>
      <c r="AN79" s="46"/>
      <c r="CD79" s="2">
        <f>IF(AND(L71="",N71=""),0,SUM(CF79:CH79))</f>
        <v>0</v>
      </c>
      <c r="CE79" s="108"/>
      <c r="CF79" t="str">
        <f>IF(AND(L71&amp;N71=P71&amp;R71,P71&amp;R71&lt;&gt;"",L71&lt;&gt;"",N71&lt;&gt;"",P71&lt;&gt;"",R71&lt;&gt;""),Spielregeln!$F$9,"")</f>
        <v/>
      </c>
      <c r="CG79" t="str">
        <f>IF(AND(CF79="",L71-N71=P71-R71,P71&amp;R71&lt;&gt;"",L71&lt;&gt;"",N71&lt;&gt;"",P71&lt;&gt;"",R71&lt;&gt;""),IF(OR(AND(L71=N71,Spielregeln!$E$13="Tordifferenz"),L71&lt;&gt;N71),Spielregeln!$F$10,""),"")</f>
        <v/>
      </c>
      <c r="CH79" s="109" t="str">
        <f>IF(OR(L71="",N71="",P71="",R71=""),"",IF(AND(L71-N71&gt;0,CF79="",CG79="",P71-R71&gt;0),Spielregeln!$F$11,IF(AND(L71-N71=0,CF79="",CG79="",P71-R71=0,P71&amp;R71&lt;&gt;""),Spielregeln!$F$11,IF(AND(L71-N71&lt;0,CF79="",CG79="",P71-R71&lt;0),Spielregeln!$F$11,""))))</f>
        <v/>
      </c>
      <c r="CU79" s="123" t="s">
        <v>432</v>
      </c>
      <c r="CV79" s="122">
        <v>14</v>
      </c>
      <c r="CW79" s="136" t="str">
        <f>$CU$95</f>
        <v/>
      </c>
      <c r="CX79" s="134" t="str">
        <f>$CU$94</f>
        <v/>
      </c>
      <c r="CY79" s="131" t="str">
        <f>$CU$93</f>
        <v/>
      </c>
      <c r="CZ79" s="128" t="str">
        <f>$CU$91</f>
        <v/>
      </c>
      <c r="DA79" s="122"/>
      <c r="DB79" s="122"/>
      <c r="DC79" s="122"/>
    </row>
    <row r="80" spans="2:124" x14ac:dyDescent="0.2">
      <c r="B80" s="36" t="s">
        <v>194</v>
      </c>
      <c r="C80" t="str">
        <f>IF(AE61&lt;&gt;"",C51,"")</f>
        <v/>
      </c>
      <c r="E80" t="str">
        <f>IF(AE63&lt;&gt;"",AQ52,"")</f>
        <v/>
      </c>
      <c r="I80" s="196"/>
      <c r="L80" s="194"/>
      <c r="M80" s="2" t="s">
        <v>20</v>
      </c>
      <c r="N80" s="194"/>
      <c r="O80" s="2"/>
      <c r="P80" s="195"/>
      <c r="Q80" s="2" t="s">
        <v>20</v>
      </c>
      <c r="R80" s="195"/>
      <c r="T80" s="197">
        <f>CD82</f>
        <v>0</v>
      </c>
      <c r="X80" s="202"/>
      <c r="Y80" s="202"/>
      <c r="Z80" s="202"/>
      <c r="AA80" s="202"/>
      <c r="AE80" t="str">
        <f>IF(E77&lt;&gt;"",E77,"")</f>
        <v/>
      </c>
      <c r="AN80" s="46"/>
      <c r="CD80" s="2">
        <f>IF(AND(L74="",N74=""),0,SUM(CF80:CH80))</f>
        <v>0</v>
      </c>
      <c r="CE80" s="108"/>
      <c r="CF80" t="str">
        <f>IF(AND(L74&amp;N74=P74&amp;R74,P74&amp;R74&lt;&gt;"",L74&lt;&gt;"",N74&lt;&gt;"",P74&lt;&gt;"",R74&lt;&gt;""),Spielregeln!$F$9,"")</f>
        <v/>
      </c>
      <c r="CG80" t="str">
        <f>IF(AND(CF80="",L74-N74=P74-R74,P74&amp;R74&lt;&gt;"",L74&lt;&gt;"",N74&lt;&gt;"",P74&lt;&gt;"",R74&lt;&gt;""),IF(OR(AND(L74=N74,Spielregeln!$E$13="Tordifferenz"),L74&lt;&gt;N74),Spielregeln!$F$10,""),"")</f>
        <v/>
      </c>
      <c r="CH80" s="109" t="str">
        <f>IF(OR(L74="",N74="",P74="",R74=""),"",IF(AND(L74-N74&gt;0,CF80="",CG80="",P74-R74&gt;0),Spielregeln!$F$11,IF(AND(L74-N74=0,CF80="",CG80="",P74-R74=0,P74&amp;R74&lt;&gt;""),Spielregeln!$F$11,IF(AND(L74-N74&lt;0,CF80="",CG80="",P74-R74&lt;0),Spielregeln!$F$11,""))))</f>
        <v/>
      </c>
      <c r="CU80" s="123" t="s">
        <v>433</v>
      </c>
      <c r="CV80" s="122">
        <v>22</v>
      </c>
      <c r="CW80" s="138" t="str">
        <f>$CU$96</f>
        <v/>
      </c>
      <c r="CX80" s="134" t="str">
        <f>$CU$94</f>
        <v/>
      </c>
      <c r="CY80" s="131" t="str">
        <f>$CU$93</f>
        <v/>
      </c>
      <c r="CZ80" s="128" t="str">
        <f>$CU$91</f>
        <v/>
      </c>
      <c r="DA80" s="122"/>
      <c r="DB80" s="122"/>
      <c r="DC80" s="122"/>
    </row>
    <row r="81" spans="2:107" x14ac:dyDescent="0.2">
      <c r="B81" s="141" t="s">
        <v>692</v>
      </c>
      <c r="I81" s="2"/>
      <c r="T81" s="197"/>
      <c r="X81" s="202"/>
      <c r="Y81" s="202"/>
      <c r="Z81" s="202"/>
      <c r="AA81" s="202"/>
      <c r="AE81" t="str">
        <f>IF(C80&lt;&gt;"",C80,"")</f>
        <v/>
      </c>
      <c r="AN81" s="46"/>
      <c r="CD81" s="2">
        <f>IF(AND(L77="",N77=""),0,SUM(CF81:CH81))</f>
        <v>0</v>
      </c>
      <c r="CE81" s="108"/>
      <c r="CF81" t="str">
        <f>IF(AND(L77&amp;N77=P77&amp;R77,P77&amp;R77&lt;&gt;"",L77&lt;&gt;"",N77&lt;&gt;"",P77&lt;&gt;"",R77&lt;&gt;""),Spielregeln!$F$9,"")</f>
        <v/>
      </c>
      <c r="CG81" t="str">
        <f>IF(AND(CF81="",L77-N77=P77-R77,P77&amp;R77&lt;&gt;"",L77&lt;&gt;"",N77&lt;&gt;"",P77&lt;&gt;"",R77&lt;&gt;""),IF(OR(AND(L77=N77,Spielregeln!$E$13="Tordifferenz"),L77&lt;&gt;N77),Spielregeln!$F$10,""),"")</f>
        <v/>
      </c>
      <c r="CH81" s="109" t="str">
        <f>IF(OR(L77="",N77="",P77="",R77=""),"",IF(AND(L77-N77&gt;0,CF81="",CG81="",P77-R77&gt;0),Spielregeln!$F$11,IF(AND(L77-N77=0,CF81="",CG81="",P77-R77=0,P77&amp;R77&lt;&gt;""),Spielregeln!$F$11,IF(AND(L77-N77&lt;0,CF81="",CG81="",P77-R77&lt;0),Spielregeln!$F$11,""))))</f>
        <v/>
      </c>
      <c r="CU81" s="123" t="s">
        <v>434</v>
      </c>
      <c r="CV81" s="122">
        <v>26</v>
      </c>
      <c r="CW81" s="136" t="str">
        <f>$CU$95</f>
        <v/>
      </c>
      <c r="CX81" s="138" t="str">
        <f>$CU$96</f>
        <v/>
      </c>
      <c r="CY81" s="131" t="str">
        <f>$CU$93</f>
        <v/>
      </c>
      <c r="CZ81" s="128" t="str">
        <f>$CU$91</f>
        <v/>
      </c>
      <c r="DA81" s="122"/>
      <c r="DB81" s="122"/>
      <c r="DC81" s="122"/>
    </row>
    <row r="82" spans="2:107" x14ac:dyDescent="0.2">
      <c r="I82" s="2"/>
      <c r="T82" s="2"/>
      <c r="X82" s="203"/>
      <c r="Y82" s="203"/>
      <c r="Z82" s="203"/>
      <c r="AA82" s="203"/>
      <c r="AE82" t="str">
        <f>IF(E80&lt;&gt;"",E80,"")</f>
        <v/>
      </c>
      <c r="AN82" s="46"/>
      <c r="CD82" s="2">
        <f>IF(AND(L80="",N80=""),0,SUM(CF82:CH82))</f>
        <v>0</v>
      </c>
      <c r="CE82" s="110"/>
      <c r="CF82" s="111" t="str">
        <f>IF(AND(L80&amp;N80=P80&amp;R80,P80&amp;R80&lt;&gt;"",L80&lt;&gt;"",N80&lt;&gt;"",P80&lt;&gt;"",R80&lt;&gt;""),Spielregeln!$F$9,"")</f>
        <v/>
      </c>
      <c r="CG82" s="111" t="str">
        <f>IF(AND(CF82="",L80-N80=P80-R80,P80&amp;R80&lt;&gt;"",L80&lt;&gt;"",N80&lt;&gt;"",P80&lt;&gt;"",R80&lt;&gt;""),IF(OR(AND(L80=N80,Spielregeln!$E$13="Tordifferenz"),L80&lt;&gt;N80),Spielregeln!$F$10,""),"")</f>
        <v/>
      </c>
      <c r="CH82" s="112" t="str">
        <f>IF(OR(L80="",N80="",P80="",R80=""),"",IF(AND(L80-N80&gt;0,CF82="",CG82="",P80-R80&gt;0),Spielregeln!$F$11,IF(AND(L80-N80=0,CF82="",CG82="",P80-R80=0,P80&amp;R80&lt;&gt;""),Spielregeln!$F$11,IF(AND(L80-N80&lt;0,CF82="",CG82="",P80-R80&lt;0),Spielregeln!$F$11,""))))</f>
        <v/>
      </c>
      <c r="CU82" s="123" t="s">
        <v>435</v>
      </c>
      <c r="CV82" s="122">
        <v>28</v>
      </c>
      <c r="CW82" s="136" t="str">
        <f>$CU$95</f>
        <v/>
      </c>
      <c r="CX82" s="138" t="str">
        <f>$CU$96</f>
        <v/>
      </c>
      <c r="CY82" s="134" t="str">
        <f>$CU$94</f>
        <v/>
      </c>
      <c r="CZ82" s="128" t="str">
        <f>$CU$91</f>
        <v/>
      </c>
      <c r="DA82" s="122"/>
      <c r="DB82" s="122"/>
      <c r="DC82" s="122"/>
    </row>
    <row r="83" spans="2:107" x14ac:dyDescent="0.2">
      <c r="I83" s="2"/>
      <c r="T83" s="2"/>
      <c r="W83" s="38" t="s">
        <v>59</v>
      </c>
      <c r="X83" s="39">
        <f>AG83*Spielregeln!E34</f>
        <v>0</v>
      </c>
      <c r="Y83" s="39"/>
      <c r="Z83" s="39"/>
      <c r="AA83" s="39"/>
      <c r="AB83" s="39"/>
      <c r="AC83" s="39"/>
      <c r="AD83" s="39"/>
      <c r="AE83" s="39"/>
      <c r="AF83" s="40" t="s">
        <v>84</v>
      </c>
      <c r="AG83" s="39">
        <f>SUM(CR16:CR31)</f>
        <v>0</v>
      </c>
      <c r="AH83" s="39"/>
      <c r="AI83" s="41"/>
      <c r="AN83" s="46"/>
      <c r="CD83" s="2"/>
      <c r="CE83" s="2"/>
      <c r="CU83" s="123" t="s">
        <v>436</v>
      </c>
      <c r="CV83" s="122">
        <v>15</v>
      </c>
      <c r="CW83" s="136" t="str">
        <f>$CU$95</f>
        <v/>
      </c>
      <c r="CX83" s="134" t="str">
        <f>$CU$94</f>
        <v/>
      </c>
      <c r="CY83" s="129" t="str">
        <f>$CU$92</f>
        <v/>
      </c>
      <c r="CZ83" s="132" t="str">
        <f>$CU$93</f>
        <v/>
      </c>
      <c r="DA83" s="122"/>
      <c r="DB83" s="122"/>
      <c r="DC83" s="122"/>
    </row>
    <row r="84" spans="2:107" x14ac:dyDescent="0.2">
      <c r="B84" s="147"/>
      <c r="C84" s="148" t="s">
        <v>17</v>
      </c>
      <c r="D84" s="148"/>
      <c r="E84" s="148"/>
      <c r="F84" s="148"/>
      <c r="G84" s="148"/>
      <c r="H84" s="148"/>
      <c r="I84" s="148"/>
      <c r="J84" s="148"/>
      <c r="K84" s="148"/>
      <c r="L84" s="148"/>
      <c r="M84" s="148" t="s">
        <v>12</v>
      </c>
      <c r="N84" s="149"/>
      <c r="O84" s="148"/>
      <c r="P84" s="148"/>
      <c r="Q84" s="148" t="s">
        <v>23</v>
      </c>
      <c r="R84" s="149"/>
      <c r="T84" s="197" t="s">
        <v>111</v>
      </c>
      <c r="CD84" s="2"/>
      <c r="CE84" s="5"/>
      <c r="CF84" s="209" t="s">
        <v>36</v>
      </c>
      <c r="CG84" s="209"/>
      <c r="CH84" s="210"/>
      <c r="CU84" s="123" t="s">
        <v>437</v>
      </c>
      <c r="CV84" s="122">
        <v>23</v>
      </c>
      <c r="CW84" s="138" t="str">
        <f>$CU$96</f>
        <v/>
      </c>
      <c r="CX84" s="134" t="str">
        <f>$CU$94</f>
        <v/>
      </c>
      <c r="CY84" s="131" t="str">
        <f>$CU$93</f>
        <v/>
      </c>
      <c r="CZ84" s="130" t="str">
        <f>$CU$92</f>
        <v/>
      </c>
      <c r="DA84" s="122"/>
      <c r="DB84" s="122"/>
      <c r="DC84" s="122"/>
    </row>
    <row r="85" spans="2:107" x14ac:dyDescent="0.2">
      <c r="I85" s="2"/>
      <c r="T85" s="197"/>
      <c r="W85" s="157" t="s">
        <v>106</v>
      </c>
      <c r="X85" s="157"/>
      <c r="Y85" s="157"/>
      <c r="Z85" s="157"/>
      <c r="AA85" s="157"/>
      <c r="AB85" s="157"/>
      <c r="AC85" s="157"/>
      <c r="AD85" s="157"/>
      <c r="AE85" s="157"/>
      <c r="AF85" s="157"/>
      <c r="AG85" s="157"/>
      <c r="AH85" s="157"/>
      <c r="AI85" s="157"/>
      <c r="CD85" s="2" t="s">
        <v>91</v>
      </c>
      <c r="CE85" s="8"/>
      <c r="CF85" s="9" t="s">
        <v>12</v>
      </c>
      <c r="CG85" s="9" t="s">
        <v>25</v>
      </c>
      <c r="CH85" s="16" t="s">
        <v>26</v>
      </c>
      <c r="CU85" s="123" t="s">
        <v>438</v>
      </c>
      <c r="CV85" s="122">
        <v>27</v>
      </c>
      <c r="CW85" s="138" t="str">
        <f>$CU$96</f>
        <v/>
      </c>
      <c r="CX85" s="136" t="str">
        <f>$CU$95</f>
        <v/>
      </c>
      <c r="CY85" s="131" t="str">
        <f>$CU$93</f>
        <v/>
      </c>
      <c r="CZ85" s="130" t="str">
        <f>$CU$92</f>
        <v/>
      </c>
      <c r="DA85" s="122"/>
      <c r="DB85" s="122"/>
      <c r="DC85" s="122"/>
    </row>
    <row r="86" spans="2:107" x14ac:dyDescent="0.2">
      <c r="B86" s="36" t="s">
        <v>74</v>
      </c>
      <c r="C86" t="str">
        <f>IF(Spielregeln!E50="Endergebnis",IF(OR(L65="",N65="",L65=N65),"",IF(L65&gt;N65,C65,E65)),IF(OR(Spielregeln!E50="90 Minuten",Spielregeln!E50="120 Minuten"),IF(I65="H",C65,IF(I65="A",E65,"")),""))</f>
        <v/>
      </c>
      <c r="E86" t="str">
        <f>IF(Spielregeln!E50="Endergebnis",IF(OR(L59="",N59="",L59=N59),"",IF(L59&gt;N59,C59,E59)),IF(OR(Spielregeln!E50="90 Minuten",Spielregeln!E50="120 Minuten"),IF(I59="H",C59,IF(I59="A",E59,"")),""))</f>
        <v/>
      </c>
      <c r="I86" s="196"/>
      <c r="L86" s="194"/>
      <c r="M86" s="2" t="s">
        <v>20</v>
      </c>
      <c r="N86" s="194"/>
      <c r="O86" s="2"/>
      <c r="P86" s="195"/>
      <c r="Q86" s="2" t="s">
        <v>20</v>
      </c>
      <c r="R86" s="195"/>
      <c r="T86" s="197">
        <f>CD87</f>
        <v>0</v>
      </c>
      <c r="X86" s="202"/>
      <c r="Y86" s="202"/>
      <c r="Z86" s="202"/>
      <c r="AA86" s="202"/>
      <c r="AE86" t="str">
        <f>IF(C86&lt;&gt;"",C86,"")</f>
        <v/>
      </c>
      <c r="CD86" s="2"/>
      <c r="CE86" s="11"/>
      <c r="CH86" s="12"/>
      <c r="CU86" s="123" t="s">
        <v>439</v>
      </c>
      <c r="CV86" s="122">
        <v>29</v>
      </c>
      <c r="CW86" s="138" t="str">
        <f>$CU$96</f>
        <v/>
      </c>
      <c r="CX86" s="136" t="str">
        <f>$CU$95</f>
        <v/>
      </c>
      <c r="CY86" s="134" t="str">
        <f>$CU$94</f>
        <v/>
      </c>
      <c r="CZ86" s="130" t="str">
        <f>$CU$92</f>
        <v/>
      </c>
      <c r="DA86" s="122"/>
      <c r="DB86" s="122"/>
      <c r="DC86" s="122"/>
    </row>
    <row r="87" spans="2:107" x14ac:dyDescent="0.2">
      <c r="B87" s="141" t="s">
        <v>693</v>
      </c>
      <c r="I87" s="2"/>
      <c r="L87" s="2"/>
      <c r="N87" s="2"/>
      <c r="O87" s="2"/>
      <c r="P87" s="2"/>
      <c r="R87" s="2"/>
      <c r="T87" s="2"/>
      <c r="X87" s="202"/>
      <c r="Y87" s="202"/>
      <c r="Z87" s="202"/>
      <c r="AA87" s="202"/>
      <c r="AE87" t="str">
        <f>IF(E86&lt;&gt;"",E86,"")</f>
        <v/>
      </c>
      <c r="AS87" s="83"/>
      <c r="CD87" s="2">
        <f>IF(AND(L86="",N86=""),0,SUM(CF87:CH87))</f>
        <v>0</v>
      </c>
      <c r="CE87" s="11"/>
      <c r="CF87" t="str">
        <f>IF(AND(L86&amp;N86=P86&amp;R86,P86&amp;R86&lt;&gt;"",L86&lt;&gt;"",N86&lt;&gt;"",P86&lt;&gt;"",R86&lt;&gt;""),Spielregeln!$F$9,"")</f>
        <v/>
      </c>
      <c r="CG87" t="str">
        <f>IF(AND(CF87="",L86-N86=P86-R86,P86&amp;R86&lt;&gt;"",L86&lt;&gt;"",N86&lt;&gt;"",P86&lt;&gt;"",R86&lt;&gt;""),IF(OR(AND(L86=N86,Spielregeln!$E$13="Tordifferenz"),L86&lt;&gt;N86),Spielregeln!$F$10,""),"")</f>
        <v/>
      </c>
      <c r="CH87" s="12" t="str">
        <f>IF(OR(L86="",N86="",P86="",R86=""),"",IF(AND(L86-N86&gt;0,CF87="",CG87="",P86-R86&gt;0),Spielregeln!$F$11,IF(AND(L86-N86=0,CF87="",CG87="",P86-R86=0,P86&amp;R86&lt;&gt;""),Spielregeln!$F$11,IF(AND(L86-N86&lt;0,CF87="",CG87="",P86-R86&lt;0),Spielregeln!$F$11,""))))</f>
        <v/>
      </c>
      <c r="CU87" s="124" t="s">
        <v>440</v>
      </c>
      <c r="CV87" s="125">
        <v>30</v>
      </c>
      <c r="CW87" s="139" t="str">
        <f>$CU$96</f>
        <v/>
      </c>
      <c r="CX87" s="137" t="str">
        <f>$CU$95</f>
        <v/>
      </c>
      <c r="CY87" s="135" t="str">
        <f>$CU$94</f>
        <v/>
      </c>
      <c r="CZ87" s="133" t="str">
        <f>$CU$93</f>
        <v/>
      </c>
      <c r="DA87" s="122"/>
      <c r="DB87" s="122"/>
      <c r="DC87" s="122"/>
    </row>
    <row r="88" spans="2:107" x14ac:dyDescent="0.2">
      <c r="I88" s="2"/>
      <c r="L88" s="2"/>
      <c r="N88" s="2"/>
      <c r="O88" s="2"/>
      <c r="P88" s="2"/>
      <c r="R88" s="2"/>
      <c r="T88" s="2"/>
      <c r="X88" s="202"/>
      <c r="Y88" s="202"/>
      <c r="Z88" s="202"/>
      <c r="AA88" s="202"/>
      <c r="AE88" t="str">
        <f>IF(C89&lt;&gt;"",C89,"")</f>
        <v/>
      </c>
      <c r="AS88" s="83"/>
      <c r="CD88" s="2">
        <f>IF(AND(L89="",N89=""),0,SUM(CF88:CH88))</f>
        <v>0</v>
      </c>
      <c r="CE88" s="11"/>
      <c r="CF88" t="str">
        <f>IF(AND(L89&amp;N89=P89&amp;R89,P89&amp;R89&lt;&gt;"",L89&lt;&gt;"",N89&lt;&gt;"",P89&lt;&gt;"",R89&lt;&gt;""),Spielregeln!$F$9,"")</f>
        <v/>
      </c>
      <c r="CG88" t="str">
        <f>IF(AND(CF88="",L89-N89=P89-R89,P89&amp;R89&lt;&gt;"",L89&lt;&gt;"",N89&lt;&gt;"",P89&lt;&gt;"",R89&lt;&gt;""),IF(OR(AND(L89=N89,Spielregeln!$E$13="Tordifferenz"),L89&lt;&gt;N89),Spielregeln!$F$10,""),"")</f>
        <v/>
      </c>
      <c r="CH88" s="12" t="str">
        <f>IF(OR(L89="",N89="",P89="",R89=""),"",IF(AND(L89-N89&gt;0,CF88="",CG88="",P89-R89&gt;0),Spielregeln!$F$11,IF(AND(L89-N89=0,CF88="",CG88="",P89-R89=0,P89&amp;R89&lt;&gt;""),Spielregeln!$F$11,IF(AND(L89-N89&lt;0,CF88="",CG88="",P89-R89&lt;0),Spielregeln!$F$11,""))))</f>
        <v/>
      </c>
      <c r="CU88" s="122"/>
      <c r="CV88" s="122"/>
      <c r="CW88" s="122"/>
      <c r="CX88" s="122"/>
      <c r="CY88" s="122"/>
      <c r="CZ88" s="122"/>
      <c r="DA88" s="122"/>
      <c r="DB88" s="122"/>
      <c r="DC88" s="122"/>
    </row>
    <row r="89" spans="2:107" ht="14.25" customHeight="1" x14ac:dyDescent="0.2">
      <c r="B89" s="36" t="s">
        <v>75</v>
      </c>
      <c r="C89" t="str">
        <f>IF(Spielregeln!E50="Endergebnis",IF(OR(L71="",N71="",L71=N71),"",IF(L71&gt;N71,C71,E71)),IF(OR(Spielregeln!E50="90 Minuten",Spielregeln!E50="120 Minuten"),IF(I71="H",C71,IF(I71="A",E71,"")),""))</f>
        <v/>
      </c>
      <c r="E89" t="str">
        <f>IF(Spielregeln!E50="Endergebnis",IF(OR(L74="",N74="",L74=N74),"",IF(L74&gt;N74,C74,E74)),IF(OR(Spielregeln!E50="90 Minuten",Spielregeln!E50="120 Minuten"),IF(I74="H",C74,IF(I74="A",E74,"")),""))</f>
        <v/>
      </c>
      <c r="I89" s="196"/>
      <c r="L89" s="194"/>
      <c r="M89" s="2" t="s">
        <v>20</v>
      </c>
      <c r="N89" s="194"/>
      <c r="O89" s="2"/>
      <c r="P89" s="195"/>
      <c r="Q89" s="2" t="s">
        <v>20</v>
      </c>
      <c r="R89" s="195"/>
      <c r="T89" s="197">
        <f>CD88</f>
        <v>0</v>
      </c>
      <c r="X89" s="202"/>
      <c r="Y89" s="202"/>
      <c r="Z89" s="202"/>
      <c r="AA89" s="202"/>
      <c r="AE89" t="str">
        <f>IF(E89&lt;&gt;"",E89,"")</f>
        <v/>
      </c>
      <c r="AS89" s="83"/>
      <c r="CD89" s="2">
        <f>IF(AND(L92="",N92=""),0,SUM(CF89:CH89))</f>
        <v>0</v>
      </c>
      <c r="CE89" s="11"/>
      <c r="CF89" t="str">
        <f>IF(AND(L92&amp;N92=P92&amp;R92,P92&amp;R92&lt;&gt;"",L92&lt;&gt;"",N92&lt;&gt;"",P92&lt;&gt;"",R92&lt;&gt;""),Spielregeln!$F$9,"")</f>
        <v/>
      </c>
      <c r="CG89" t="str">
        <f>IF(AND(CF89="",L92-N92=P92-R92,P92&amp;R92&lt;&gt;"",L92&lt;&gt;"",N92&lt;&gt;"",P92&lt;&gt;"",R92&lt;&gt;""),IF(OR(AND(L92=N92,Spielregeln!$E$13="Tordifferenz"),L92&lt;&gt;N92),Spielregeln!$F$10,""),"")</f>
        <v/>
      </c>
      <c r="CH89" s="12" t="str">
        <f>IF(OR(L92="",N92="",P92="",R92=""),"",IF(AND(L92-N92&gt;0,CF89="",CG89="",P92-R92&gt;0),Spielregeln!$F$11,IF(AND(L92-N92=0,CF89="",CG89="",P92-R92=0,P92&amp;R92&lt;&gt;""),Spielregeln!$F$11,IF(AND(L92-N92&lt;0,CF89="",CG89="",P92-R92&lt;0),Spielregeln!$F$11,""))))</f>
        <v/>
      </c>
      <c r="CU89" s="122" t="s">
        <v>422</v>
      </c>
      <c r="CV89" s="122" t="s">
        <v>21</v>
      </c>
      <c r="CW89" s="122"/>
      <c r="CX89" s="122" t="s">
        <v>22</v>
      </c>
      <c r="CY89" s="122"/>
      <c r="CZ89" s="122"/>
      <c r="DA89" s="122"/>
      <c r="DB89" s="122" t="s">
        <v>423</v>
      </c>
      <c r="DC89" s="122"/>
    </row>
    <row r="90" spans="2:107" ht="14.25" customHeight="1" x14ac:dyDescent="0.2">
      <c r="B90" s="141" t="s">
        <v>694</v>
      </c>
      <c r="I90" s="2"/>
      <c r="L90" s="2"/>
      <c r="N90" s="2"/>
      <c r="O90" s="2"/>
      <c r="P90" s="2"/>
      <c r="R90" s="2"/>
      <c r="T90" s="197"/>
      <c r="X90" s="202"/>
      <c r="Y90" s="202"/>
      <c r="Z90" s="202"/>
      <c r="AA90" s="202"/>
      <c r="AE90" t="str">
        <f>IF(C92&lt;&gt;"",C92,"")</f>
        <v/>
      </c>
      <c r="AS90" s="83"/>
      <c r="CD90" s="2">
        <f>IF(AND(L95="",N95=""),0,SUM(CF90:CH90))</f>
        <v>0</v>
      </c>
      <c r="CE90" s="13"/>
      <c r="CF90" s="14" t="str">
        <f>IF(AND(L95&amp;N95=P95&amp;R95,P95&amp;R95&lt;&gt;"",L95&lt;&gt;"",N95&lt;&gt;"",P95&lt;&gt;"",R95&lt;&gt;""),Spielregeln!$F$9,"")</f>
        <v/>
      </c>
      <c r="CG90" s="14" t="str">
        <f>IF(AND(CF90="",L95-N95=P95-R95,P95&amp;R95&lt;&gt;"",L95&lt;&gt;"",N95&lt;&gt;"",P95&lt;&gt;"",R95&lt;&gt;""),IF(OR(AND(L95=N95,Spielregeln!$E$13="Tordifferenz"),L95&lt;&gt;N95),Spielregeln!$F$10,""),"")</f>
        <v/>
      </c>
      <c r="CH90" s="15" t="str">
        <f>IF(OR(L95="",N95="",P95="",R95=""),"",IF(AND(L95-N95&gt;0,CF90="",CG90="",P95-R95&gt;0),Spielregeln!$F$11,IF(AND(L95-N95=0,CF90="",CG90="",P95-R95=0,P95&amp;R95&lt;&gt;""),Spielregeln!$F$11,IF(AND(L95-N95&lt;0,CF90="",CG90="",P95-R95&lt;0),Spielregeln!$F$11,""))))</f>
        <v/>
      </c>
      <c r="CU90" s="122"/>
      <c r="CV90" s="122"/>
      <c r="CW90" s="122"/>
      <c r="CX90" s="122"/>
      <c r="CY90" s="122"/>
      <c r="CZ90" s="122"/>
      <c r="DA90" s="122"/>
      <c r="DB90" s="122"/>
      <c r="DC90" s="122"/>
    </row>
    <row r="91" spans="2:107" ht="14.25" customHeight="1" x14ac:dyDescent="0.2">
      <c r="I91" s="2"/>
      <c r="L91" s="2"/>
      <c r="N91" s="2"/>
      <c r="O91" s="2"/>
      <c r="P91" s="2"/>
      <c r="R91" s="2"/>
      <c r="T91" s="197"/>
      <c r="X91" s="202"/>
      <c r="Y91" s="202"/>
      <c r="Z91" s="202"/>
      <c r="AA91" s="202"/>
      <c r="AE91" t="str">
        <f>IF(E92&lt;&gt;"",E92,"")</f>
        <v/>
      </c>
      <c r="CD91" s="2"/>
      <c r="CE91" s="2"/>
      <c r="CT91" s="83" t="s">
        <v>37</v>
      </c>
      <c r="CU91" s="127" t="str">
        <f>C25</f>
        <v/>
      </c>
      <c r="CV91" s="122" t="str">
        <f>Q25</f>
        <v/>
      </c>
      <c r="CW91" s="122" t="str">
        <f>K25</f>
        <v/>
      </c>
      <c r="CX91" s="122" t="s">
        <v>20</v>
      </c>
      <c r="CY91" s="122" t="str">
        <f>M25</f>
        <v/>
      </c>
      <c r="CZ91" s="122" t="e">
        <f>CV91*1000+(CW91-CY91)*10+CW91</f>
        <v>#VALUE!</v>
      </c>
      <c r="DA91" s="122" t="s">
        <v>37</v>
      </c>
      <c r="DB91" s="122" t="e">
        <f t="shared" ref="DB91:DB96" si="137">IF(CZ91="","",RANK(CZ91,CZ$91:CZ$96,0)+ROW(A1)%%)</f>
        <v>#VALUE!</v>
      </c>
      <c r="DC91" s="122"/>
    </row>
    <row r="92" spans="2:107" ht="14.25" customHeight="1" x14ac:dyDescent="0.2">
      <c r="B92" s="36" t="s">
        <v>76</v>
      </c>
      <c r="C92" t="str">
        <f>IF(Spielregeln!E50="endergebnis",IF(OR(L77="",N77="",L77=N77),"",IF(L77&gt;N77,C77,E77)),IF(OR(Spielregeln!E50="90 Minuten",Spielregeln!E50="120 Minuten"),IF(I77="H",C77,IF(I77="A",E77,"")),""))</f>
        <v/>
      </c>
      <c r="E92" t="str">
        <f>IF(Spielregeln!E50="Endergebnis",IF(OR(L80="",N80="",L80=N80),"",IF(L80&gt;N80,C80,E80)),IF(OR(Spielregeln!E50="90 Minuten",Spielregeln!E50="120 Minuten"),IF(I80="H",C80,IF(I80="A",E80,"")),""))</f>
        <v/>
      </c>
      <c r="I92" s="196"/>
      <c r="L92" s="194"/>
      <c r="M92" s="2" t="s">
        <v>20</v>
      </c>
      <c r="N92" s="194"/>
      <c r="O92" s="2"/>
      <c r="P92" s="195"/>
      <c r="Q92" s="2" t="s">
        <v>20</v>
      </c>
      <c r="R92" s="195"/>
      <c r="T92" s="197">
        <f>CD89</f>
        <v>0</v>
      </c>
      <c r="X92" s="202"/>
      <c r="Y92" s="202"/>
      <c r="Z92" s="202"/>
      <c r="AA92" s="202"/>
      <c r="AE92" t="str">
        <f>IF(C95&lt;&gt;"",C95,"")</f>
        <v/>
      </c>
      <c r="CD92" s="2"/>
      <c r="CE92" s="5"/>
      <c r="CF92" s="209" t="s">
        <v>36</v>
      </c>
      <c r="CG92" s="209"/>
      <c r="CH92" s="210"/>
      <c r="CT92" s="83" t="s">
        <v>38</v>
      </c>
      <c r="CU92" s="129" t="str">
        <f>W25</f>
        <v/>
      </c>
      <c r="CV92" s="122" t="str">
        <f>AK25</f>
        <v/>
      </c>
      <c r="CW92" s="122" t="str">
        <f>AE25</f>
        <v/>
      </c>
      <c r="CX92" s="122" t="s">
        <v>20</v>
      </c>
      <c r="CY92" s="122" t="str">
        <f>AG25</f>
        <v/>
      </c>
      <c r="CZ92" s="122" t="e">
        <f t="shared" ref="CZ92:CZ96" si="138">CV92*1000+(CW92-CY92)*10+CW92</f>
        <v>#VALUE!</v>
      </c>
      <c r="DA92" s="122" t="s">
        <v>38</v>
      </c>
      <c r="DB92" s="122" t="e">
        <f t="shared" si="137"/>
        <v>#VALUE!</v>
      </c>
      <c r="DC92" s="122"/>
    </row>
    <row r="93" spans="2:107" x14ac:dyDescent="0.2">
      <c r="B93" s="141" t="s">
        <v>695</v>
      </c>
      <c r="I93" s="2"/>
      <c r="L93" s="2"/>
      <c r="N93" s="2"/>
      <c r="O93" s="2"/>
      <c r="P93" s="2"/>
      <c r="R93" s="2"/>
      <c r="T93" s="197"/>
      <c r="X93" s="203"/>
      <c r="Y93" s="203"/>
      <c r="Z93" s="203"/>
      <c r="AA93" s="203"/>
      <c r="AE93" t="str">
        <f>IF(E95&lt;&gt;"",E95,"")</f>
        <v/>
      </c>
      <c r="CD93" s="2" t="s">
        <v>92</v>
      </c>
      <c r="CE93" s="8"/>
      <c r="CF93" s="9" t="s">
        <v>12</v>
      </c>
      <c r="CG93" s="9" t="s">
        <v>25</v>
      </c>
      <c r="CH93" s="16" t="s">
        <v>26</v>
      </c>
      <c r="CT93" s="83" t="s">
        <v>39</v>
      </c>
      <c r="CU93" s="131" t="str">
        <f>AQ25</f>
        <v/>
      </c>
      <c r="CV93" s="122" t="str">
        <f>BE25</f>
        <v/>
      </c>
      <c r="CW93" s="122" t="str">
        <f>AY25</f>
        <v/>
      </c>
      <c r="CX93" s="122" t="s">
        <v>20</v>
      </c>
      <c r="CY93" s="122" t="str">
        <f>BA25</f>
        <v/>
      </c>
      <c r="CZ93" s="122" t="e">
        <f t="shared" si="138"/>
        <v>#VALUE!</v>
      </c>
      <c r="DA93" s="122" t="s">
        <v>39</v>
      </c>
      <c r="DB93" s="122" t="e">
        <f t="shared" si="137"/>
        <v>#VALUE!</v>
      </c>
      <c r="DC93" s="122"/>
    </row>
    <row r="94" spans="2:107" x14ac:dyDescent="0.2">
      <c r="I94" s="2"/>
      <c r="L94" s="2"/>
      <c r="N94" s="2"/>
      <c r="O94" s="2"/>
      <c r="P94" s="2"/>
      <c r="R94" s="2"/>
      <c r="T94" s="197"/>
      <c r="W94" s="38" t="s">
        <v>59</v>
      </c>
      <c r="X94" s="39">
        <f>AG94*Spielregeln!E35</f>
        <v>0</v>
      </c>
      <c r="Y94" s="39"/>
      <c r="Z94" s="39"/>
      <c r="AA94" s="39"/>
      <c r="AB94" s="39"/>
      <c r="AC94" s="39"/>
      <c r="AD94" s="39"/>
      <c r="AE94" s="39"/>
      <c r="AF94" s="40" t="s">
        <v>84</v>
      </c>
      <c r="AG94" s="39">
        <f>SUM(CR36:CR43)</f>
        <v>0</v>
      </c>
      <c r="AH94" s="39"/>
      <c r="AI94" s="41"/>
      <c r="CD94" s="2"/>
      <c r="CE94" s="11"/>
      <c r="CH94" s="12"/>
      <c r="CT94" s="83" t="s">
        <v>40</v>
      </c>
      <c r="CU94" s="134" t="str">
        <f>C53</f>
        <v/>
      </c>
      <c r="CV94" s="122" t="str">
        <f>Q53</f>
        <v/>
      </c>
      <c r="CW94" s="122" t="str">
        <f>K53</f>
        <v/>
      </c>
      <c r="CX94" s="122" t="s">
        <v>20</v>
      </c>
      <c r="CY94" s="122" t="str">
        <f>M53</f>
        <v/>
      </c>
      <c r="CZ94" s="122" t="e">
        <f t="shared" si="138"/>
        <v>#VALUE!</v>
      </c>
      <c r="DA94" s="122" t="s">
        <v>40</v>
      </c>
      <c r="DB94" s="122" t="e">
        <f t="shared" si="137"/>
        <v>#VALUE!</v>
      </c>
      <c r="DC94" s="122"/>
    </row>
    <row r="95" spans="2:107" x14ac:dyDescent="0.2">
      <c r="B95" s="36" t="s">
        <v>77</v>
      </c>
      <c r="C95" t="str">
        <f>IF(Spielregeln!E50="Endergebnis",IF(OR(L68="",N68="",L68=N68),"",IF(L68&gt;N68,C68,E68)),IF(OR(Spielregeln!E50="90 Minuten",Spielregeln!E50="120 Minuten"),IF(I68="H",C68,IF(I68="A",E68,"")),""))</f>
        <v/>
      </c>
      <c r="E95" t="str">
        <f>IF(Spielregeln!E50="Endergebnis",IF(OR(L62="",N62="",L62=N62),"",IF(L62&gt;N62,C62,E62)),IF(OR(Spielregeln!E50="90 Minuten",Spielregeln!E50="120 Minuten"),IF(I62="H",C62,IF(I62="A",E62,"")),""))</f>
        <v/>
      </c>
      <c r="I95" s="196"/>
      <c r="L95" s="194"/>
      <c r="M95" s="2" t="s">
        <v>20</v>
      </c>
      <c r="N95" s="194"/>
      <c r="O95" s="2"/>
      <c r="P95" s="195"/>
      <c r="Q95" s="2" t="s">
        <v>20</v>
      </c>
      <c r="R95" s="195"/>
      <c r="T95" s="197">
        <f>CD90</f>
        <v>0</v>
      </c>
      <c r="CD95" s="2">
        <f>IF(AND(L101="",N101=""),0,SUM(CF95:CH95))</f>
        <v>0</v>
      </c>
      <c r="CE95" s="11"/>
      <c r="CF95" t="str">
        <f>IF(AND(L101&amp;N101=P101&amp;R101,P101&amp;R101&lt;&gt;"",L101&lt;&gt;"",N101&lt;&gt;"",P101&lt;&gt;"",R101&lt;&gt;""),Spielregeln!$F$9,"")</f>
        <v/>
      </c>
      <c r="CG95" t="str">
        <f>IF(AND(CF95="",L101-N101=P101-R101,P101&amp;R101&lt;&gt;"",L101&lt;&gt;"",N101&lt;&gt;"",P101&lt;&gt;"",R101&lt;&gt;""),IF(OR(AND(L101=N101,Spielregeln!$E$13="Tordifferenz"),L101&lt;&gt;N101),Spielregeln!$F$10,""),"")</f>
        <v/>
      </c>
      <c r="CH95" s="12" t="str">
        <f>IF(OR(L101="",N101="",P101="",R101=""),"",IF(AND(L101-N101&gt;0,CF95="",CG95="",P101-R101&gt;0),Spielregeln!$F$11,IF(AND(L101-N101=0,CF95="",CG95="",P101-R101=0,P101&amp;R101&lt;&gt;""),Spielregeln!$F$11,IF(AND(L101-N101&lt;0,CF95="",CG95="",P101-R101&lt;0),Spielregeln!$F$11,""))))</f>
        <v/>
      </c>
      <c r="CT95" s="83" t="s">
        <v>198</v>
      </c>
      <c r="CU95" s="136" t="str">
        <f>W53</f>
        <v/>
      </c>
      <c r="CV95" s="122" t="str">
        <f>AK53</f>
        <v/>
      </c>
      <c r="CW95" s="122" t="str">
        <f>AE53</f>
        <v/>
      </c>
      <c r="CX95" s="122" t="s">
        <v>20</v>
      </c>
      <c r="CY95" s="122" t="str">
        <f>AG53</f>
        <v/>
      </c>
      <c r="CZ95" s="122" t="e">
        <f t="shared" si="138"/>
        <v>#VALUE!</v>
      </c>
      <c r="DA95" s="122" t="s">
        <v>198</v>
      </c>
      <c r="DB95" s="122" t="e">
        <f t="shared" si="137"/>
        <v>#VALUE!</v>
      </c>
      <c r="DC95" s="122"/>
    </row>
    <row r="96" spans="2:107" x14ac:dyDescent="0.2">
      <c r="B96" s="141" t="s">
        <v>696</v>
      </c>
      <c r="I96" s="2"/>
      <c r="T96" s="197"/>
      <c r="W96" s="157" t="s">
        <v>107</v>
      </c>
      <c r="X96" s="157"/>
      <c r="Y96" s="157"/>
      <c r="Z96" s="157"/>
      <c r="AA96" s="157"/>
      <c r="AB96" s="157"/>
      <c r="AC96" s="157"/>
      <c r="AD96" s="157"/>
      <c r="AE96" s="157"/>
      <c r="AF96" s="157"/>
      <c r="AG96" s="157"/>
      <c r="AH96" s="157"/>
      <c r="AI96" s="157"/>
      <c r="CD96" s="2">
        <f>IF(AND(L104="",N104=""),0,SUM(CF96:CH96))</f>
        <v>0</v>
      </c>
      <c r="CE96" s="13"/>
      <c r="CF96" s="14" t="str">
        <f>IF(AND(L104&amp;N104=P104&amp;R104,P104&amp;R104&lt;&gt;"",L104&lt;&gt;"",N104&lt;&gt;"",P104&lt;&gt;"",R104&lt;&gt;""),Spielregeln!$F$9,"")</f>
        <v/>
      </c>
      <c r="CG96" s="14" t="str">
        <f>IF(AND(CF96="",L104-N104=P104-R104,P104&amp;R104&lt;&gt;"",L104&lt;&gt;"",N104&lt;&gt;"",P104&lt;&gt;"",R104&lt;&gt;""),IF(OR(AND(L104=N104,Spielregeln!$E$13="Tordifferenz"),L104&lt;&gt;N104),Spielregeln!$F$10,""),"")</f>
        <v/>
      </c>
      <c r="CH96" s="15" t="str">
        <f>IF(OR(L104="",N104="",P104="",R104=""),"",IF(AND(L104-N104&gt;0,CF96="",CG96="",P104-R104&gt;0),Spielregeln!$F$11,IF(AND(L104-N104=0,CF96="",CG96="",P104-R104=0,P104&amp;R104&lt;&gt;""),Spielregeln!$F$11,IF(AND(L104-N104&lt;0,CF96="",CG96="",P104-R104&lt;0),Spielregeln!$F$11,""))))</f>
        <v/>
      </c>
      <c r="CT96" s="83" t="s">
        <v>98</v>
      </c>
      <c r="CU96" s="138" t="str">
        <f>AQ53</f>
        <v/>
      </c>
      <c r="CV96" s="122" t="str">
        <f>BE53</f>
        <v/>
      </c>
      <c r="CW96" s="122" t="str">
        <f>AY53</f>
        <v/>
      </c>
      <c r="CX96" s="122" t="s">
        <v>20</v>
      </c>
      <c r="CY96" s="122" t="str">
        <f>BA53</f>
        <v/>
      </c>
      <c r="CZ96" s="122" t="e">
        <f t="shared" si="138"/>
        <v>#VALUE!</v>
      </c>
      <c r="DA96" s="122" t="s">
        <v>98</v>
      </c>
      <c r="DB96" s="122" t="e">
        <f t="shared" si="137"/>
        <v>#VALUE!</v>
      </c>
      <c r="DC96" s="122"/>
    </row>
    <row r="97" spans="2:107" x14ac:dyDescent="0.2">
      <c r="I97" s="2"/>
      <c r="T97" s="197"/>
      <c r="X97" s="202"/>
      <c r="Y97" s="202"/>
      <c r="Z97" s="202"/>
      <c r="AA97" s="202"/>
      <c r="AE97" t="str">
        <f>IF(C101&lt;&gt;"",C101,"")</f>
        <v/>
      </c>
      <c r="CU97" s="122"/>
      <c r="CV97" s="122"/>
      <c r="CW97" s="122"/>
      <c r="CX97" s="122"/>
      <c r="CY97" s="122"/>
      <c r="CZ97" s="122"/>
      <c r="DA97" s="122"/>
      <c r="DB97" s="122"/>
      <c r="DC97" s="122"/>
    </row>
    <row r="98" spans="2:107" x14ac:dyDescent="0.2">
      <c r="I98" s="2"/>
      <c r="T98" s="197"/>
      <c r="X98" s="202"/>
      <c r="Y98" s="202"/>
      <c r="Z98" s="202"/>
      <c r="AA98" s="202"/>
      <c r="AE98" t="str">
        <f>IF(E101&lt;&gt;"",E101,"")</f>
        <v/>
      </c>
      <c r="CD98" s="2"/>
      <c r="CE98" s="5"/>
      <c r="CF98" s="209" t="s">
        <v>36</v>
      </c>
      <c r="CG98" s="209"/>
      <c r="CH98" s="210"/>
      <c r="CU98" s="122"/>
      <c r="CV98" s="122"/>
      <c r="CW98" s="122"/>
      <c r="CX98" s="122"/>
      <c r="CY98" s="122"/>
      <c r="CZ98" s="122"/>
      <c r="DA98" s="122"/>
      <c r="DB98" s="122"/>
      <c r="DC98" s="122"/>
    </row>
    <row r="99" spans="2:107" x14ac:dyDescent="0.2">
      <c r="B99" s="147"/>
      <c r="C99" s="148" t="s">
        <v>18</v>
      </c>
      <c r="D99" s="148"/>
      <c r="E99" s="148"/>
      <c r="F99" s="148"/>
      <c r="G99" s="148"/>
      <c r="H99" s="148"/>
      <c r="I99" s="148"/>
      <c r="J99" s="148"/>
      <c r="K99" s="148"/>
      <c r="L99" s="148"/>
      <c r="M99" s="148" t="s">
        <v>12</v>
      </c>
      <c r="N99" s="148"/>
      <c r="O99" s="148"/>
      <c r="P99" s="148"/>
      <c r="Q99" s="148" t="s">
        <v>23</v>
      </c>
      <c r="R99" s="148"/>
      <c r="T99" s="197" t="s">
        <v>111</v>
      </c>
      <c r="X99" s="202"/>
      <c r="Y99" s="202"/>
      <c r="Z99" s="202"/>
      <c r="AA99" s="202"/>
      <c r="AE99" t="str">
        <f>IF(C104&lt;&gt;"",C104,"")</f>
        <v/>
      </c>
      <c r="CD99" s="2" t="s">
        <v>93</v>
      </c>
      <c r="CE99" s="8"/>
      <c r="CF99" s="9" t="s">
        <v>12</v>
      </c>
      <c r="CG99" s="9" t="s">
        <v>25</v>
      </c>
      <c r="CH99" s="16" t="s">
        <v>26</v>
      </c>
      <c r="CU99" s="122"/>
      <c r="CV99" s="122"/>
      <c r="CW99" s="122"/>
      <c r="CX99" s="122" t="s">
        <v>21</v>
      </c>
      <c r="CY99" s="122"/>
      <c r="CZ99" s="122" t="s">
        <v>22</v>
      </c>
      <c r="DA99" s="122"/>
      <c r="DB99" s="122"/>
      <c r="DC99" s="122"/>
    </row>
    <row r="100" spans="2:107" x14ac:dyDescent="0.2">
      <c r="I100" s="2"/>
      <c r="M100"/>
      <c r="N100"/>
      <c r="Q100"/>
      <c r="R100"/>
      <c r="T100" s="197"/>
      <c r="X100" s="203"/>
      <c r="Y100" s="203"/>
      <c r="Z100" s="203"/>
      <c r="AA100" s="203"/>
      <c r="AE100" t="str">
        <f>IF(E104&lt;&gt;"",E104,"")</f>
        <v/>
      </c>
      <c r="CD100" s="2"/>
      <c r="CE100" s="11"/>
      <c r="CH100" s="12"/>
      <c r="CU100" s="122"/>
      <c r="CV100" s="122"/>
      <c r="CW100" s="122"/>
      <c r="CX100" s="122"/>
      <c r="CY100" s="122"/>
      <c r="CZ100" s="122"/>
      <c r="DA100" s="122"/>
      <c r="DB100" s="122"/>
      <c r="DC100" s="122"/>
    </row>
    <row r="101" spans="2:107" x14ac:dyDescent="0.2">
      <c r="B101" s="36" t="s">
        <v>78</v>
      </c>
      <c r="C101" t="str">
        <f>IF(Spielregeln!E50="Endergebnis",IF(OR(L86="",N86="",L86=N86),"",IF(L86&gt;N86,C86,E86)),IF(OR(Spielregeln!E50="90 Minuten",Spielregeln!E50="120 Minuten"),IF(I86="H",C86,IF(I86="A",E86,"")),""))</f>
        <v/>
      </c>
      <c r="E101" t="str">
        <f>IF(Spielregeln!E50="Endergebnis",IF(OR(L89="",N89="",L89=N89),"",IF(L89&gt;N89,C89,E89)),IF(OR(Spielregeln!E50="90 Minuten",Spielregeln!E50="120 Minuten"),IF(I89="H",C89,IF(I89="A",E89,"")),""))</f>
        <v/>
      </c>
      <c r="I101" s="196"/>
      <c r="L101" s="194"/>
      <c r="M101" s="2" t="s">
        <v>20</v>
      </c>
      <c r="N101" s="194"/>
      <c r="O101" s="2"/>
      <c r="P101" s="195"/>
      <c r="Q101" s="2" t="s">
        <v>20</v>
      </c>
      <c r="R101" s="195"/>
      <c r="T101" s="197">
        <f>CD95</f>
        <v>0</v>
      </c>
      <c r="W101" s="38" t="s">
        <v>59</v>
      </c>
      <c r="X101" s="39">
        <f>AG101*Spielregeln!E36</f>
        <v>0</v>
      </c>
      <c r="Y101" s="39"/>
      <c r="Z101" s="39"/>
      <c r="AA101" s="39"/>
      <c r="AB101" s="39"/>
      <c r="AC101" s="39"/>
      <c r="AD101" s="39"/>
      <c r="AE101" s="39"/>
      <c r="AF101" s="40" t="s">
        <v>84</v>
      </c>
      <c r="AG101" s="39">
        <f>SUM(CR48:CR51)</f>
        <v>0</v>
      </c>
      <c r="AH101" s="39"/>
      <c r="AI101" s="41"/>
      <c r="CD101" s="2">
        <f>IF(AND(L110="",N110=""),0,SUM(CF101:CH101))</f>
        <v>0</v>
      </c>
      <c r="CE101" s="13"/>
      <c r="CF101" s="14" t="str">
        <f>IF(AND(L110&amp;N110=P110&amp;R110,P110&amp;R110&lt;&gt;"",L110&lt;&gt;"",N110&lt;&gt;"",P110&lt;&gt;"",R110&lt;&gt;""),Spielregeln!$F$9,"")</f>
        <v/>
      </c>
      <c r="CG101" s="14" t="str">
        <f>IF(AND(CF101="",L110-N110=P110-R110,P110&amp;R110&lt;&gt;"",L110&lt;&gt;"",N110&lt;&gt;"",P110&lt;&gt;"",R110&lt;&gt;""),IF(OR(AND(L110=N110,Spielregeln!$E$13="Tordifferenz"),L110&lt;&gt;N110),Spielregeln!$F$10,""),"")</f>
        <v/>
      </c>
      <c r="CH101" s="15" t="str">
        <f>IF(OR(L110="",N110="",P110="",R110=""),"",IF(AND(L110-N110&gt;0,CF101="",CG101="",P110-R110&gt;0),Spielregeln!$F$11,IF(AND(L110-N110=0,CF101="",CG101="",P110-R110=0,P110&amp;R110&lt;&gt;""),Spielregeln!$F$11,IF(AND(L110-N110&lt;0,CF101="",CG101="",P110-R110&lt;0),Spielregeln!$F$11,""))))</f>
        <v/>
      </c>
      <c r="CU101" s="122" t="str">
        <f t="shared" ref="CU101:CU106" si="139">IF(ROW(A1)&gt;COUNT(DB$91:DB$96),"",SMALL(DB$91:DB$96,ROW(A1)))</f>
        <v/>
      </c>
      <c r="CV101" s="122" t="str">
        <f t="shared" ref="CV101:CV106" si="140">IF($CU101="","",INDEX($CU$91:$CU$96,MATCH($CU101,$DB$91:$DB$96,0)))</f>
        <v/>
      </c>
      <c r="CW101" s="122"/>
      <c r="CX101" s="122" t="str">
        <f t="shared" ref="CX101:CX106" si="141">IF($CU101="","",INDEX($CV$91:$CV$96,MATCH($CU101,$DB$91:$DB$96,0)))</f>
        <v/>
      </c>
      <c r="CY101" s="122" t="str">
        <f t="shared" ref="CY101:CY106" si="142">IF($CU101="","",INDEX($CW$91:$CW$96,MATCH($CU101,$DB$91:$DB$96,0)))</f>
        <v/>
      </c>
      <c r="CZ101" s="122" t="s">
        <v>20</v>
      </c>
      <c r="DA101" s="122" t="str">
        <f t="shared" ref="DA101:DA106" si="143">IF($CU101="","",INDEX($CY$91:$CY$96,MATCH($CU101,$DB$91:$DB$96,0)))</f>
        <v/>
      </c>
      <c r="DB101" s="122" t="str">
        <f>IF($CU101="","",INDEX($DA$91:$DA$96,MATCH($CU101,$DB$91:$DB$96,0)))</f>
        <v/>
      </c>
      <c r="DC101" s="122">
        <f>IF(DB101="A",0,IF(DB101="B",1,IF(DB101="C",2,IF(DB101="D",4,IF(DB101="E",8,IF(DB101="F",16,777777777))))))</f>
        <v>777777777</v>
      </c>
    </row>
    <row r="102" spans="2:107" x14ac:dyDescent="0.2">
      <c r="B102" s="141" t="s">
        <v>697</v>
      </c>
      <c r="I102" s="2"/>
      <c r="L102" s="2"/>
      <c r="N102" s="2"/>
      <c r="O102" s="2"/>
      <c r="P102" s="2"/>
      <c r="R102" s="2"/>
      <c r="T102" s="2"/>
      <c r="CU102" s="122" t="str">
        <f t="shared" si="139"/>
        <v/>
      </c>
      <c r="CV102" s="122" t="str">
        <f t="shared" si="140"/>
        <v/>
      </c>
      <c r="CW102" s="122"/>
      <c r="CX102" s="122" t="str">
        <f t="shared" si="141"/>
        <v/>
      </c>
      <c r="CY102" s="122" t="str">
        <f t="shared" si="142"/>
        <v/>
      </c>
      <c r="CZ102" s="122" t="s">
        <v>20</v>
      </c>
      <c r="DA102" s="122" t="str">
        <f t="shared" si="143"/>
        <v/>
      </c>
      <c r="DB102" s="122" t="str">
        <f>IF($CU102="","",INDEX($DA$91:$DA$96,MATCH($CU102,$DB$91:$DB$96,0)))</f>
        <v/>
      </c>
      <c r="DC102" s="122">
        <f t="shared" ref="DC102:DC104" si="144">IF(DB102="A",0,IF(DB102="B",1,IF(DB102="C",2,IF(DB102="D",4,IF(DB102="E",8,IF(DB102="F",16,777777777))))))</f>
        <v>777777777</v>
      </c>
    </row>
    <row r="103" spans="2:107" x14ac:dyDescent="0.2">
      <c r="I103" s="2"/>
      <c r="L103" s="2"/>
      <c r="N103" s="2"/>
      <c r="O103" s="2"/>
      <c r="P103" s="2"/>
      <c r="R103" s="2"/>
      <c r="T103" s="197"/>
      <c r="W103" s="157" t="s">
        <v>108</v>
      </c>
      <c r="X103" s="157"/>
      <c r="Y103" s="157"/>
      <c r="Z103" s="157"/>
      <c r="AA103" s="157"/>
      <c r="AB103" s="157"/>
      <c r="AC103" s="157"/>
      <c r="AD103" s="157"/>
      <c r="AE103" s="157"/>
      <c r="AF103" s="157"/>
      <c r="AG103" s="157"/>
      <c r="AH103" s="157"/>
      <c r="AI103" s="157"/>
      <c r="CU103" s="122" t="str">
        <f t="shared" si="139"/>
        <v/>
      </c>
      <c r="CV103" s="122" t="str">
        <f t="shared" si="140"/>
        <v/>
      </c>
      <c r="CW103" s="122"/>
      <c r="CX103" s="122" t="str">
        <f t="shared" si="141"/>
        <v/>
      </c>
      <c r="CY103" s="122" t="str">
        <f t="shared" si="142"/>
        <v/>
      </c>
      <c r="CZ103" s="122" t="s">
        <v>20</v>
      </c>
      <c r="DA103" s="122" t="str">
        <f t="shared" si="143"/>
        <v/>
      </c>
      <c r="DB103" s="122" t="str">
        <f>IF($CU103="","",INDEX($DA$91:$DA$96,MATCH($CU103,$DB$91:$DB$96,0)))</f>
        <v/>
      </c>
      <c r="DC103" s="122">
        <f t="shared" si="144"/>
        <v>777777777</v>
      </c>
    </row>
    <row r="104" spans="2:107" x14ac:dyDescent="0.2">
      <c r="B104" s="36" t="s">
        <v>79</v>
      </c>
      <c r="C104" t="str">
        <f>IF(Spielregeln!E50="Endergebnis",IF(OR(L92="",N92="",L92=N92),"",IF(L92&gt;N92,C92,E92)),IF(OR(Spielregeln!E50="90 Minuten",Spielregeln!E50="120 Minuten"),IF(I92="H",C92,IF(I92="A",E92,"")),""))</f>
        <v/>
      </c>
      <c r="E104" t="str">
        <f>IF(Spielregeln!E50="Endergebnis",IF(OR(L95="",N95="",L95=N95),"",IF(L95&gt;N95,C95,E95)),IF(OR(Spielregeln!E50="90 Minuten",Spielregeln!E50="120 Minuten"),IF(I95="H",C95,IF(I95="A",E95,"")),""))</f>
        <v/>
      </c>
      <c r="I104" s="196"/>
      <c r="L104" s="194"/>
      <c r="M104" s="2" t="s">
        <v>20</v>
      </c>
      <c r="N104" s="194"/>
      <c r="O104" s="2"/>
      <c r="P104" s="195"/>
      <c r="Q104" s="2" t="s">
        <v>20</v>
      </c>
      <c r="R104" s="195"/>
      <c r="T104" s="197">
        <f>CD96</f>
        <v>0</v>
      </c>
      <c r="X104" s="202"/>
      <c r="Y104" s="202"/>
      <c r="Z104" s="202"/>
      <c r="AA104" s="202"/>
      <c r="AE104" t="str">
        <f>C110</f>
        <v/>
      </c>
      <c r="CU104" s="122" t="str">
        <f t="shared" si="139"/>
        <v/>
      </c>
      <c r="CV104" s="122" t="str">
        <f t="shared" si="140"/>
        <v/>
      </c>
      <c r="CW104" s="122"/>
      <c r="CX104" s="122" t="str">
        <f t="shared" si="141"/>
        <v/>
      </c>
      <c r="CY104" s="122" t="str">
        <f t="shared" si="142"/>
        <v/>
      </c>
      <c r="CZ104" s="122" t="s">
        <v>20</v>
      </c>
      <c r="DA104" s="122" t="str">
        <f t="shared" si="143"/>
        <v/>
      </c>
      <c r="DB104" s="122" t="str">
        <f>IF($CU104="","",INDEX($DA$91:$DA$96,MATCH($CU104,$DB$91:$DB$96,0)))</f>
        <v/>
      </c>
      <c r="DC104" s="122">
        <f t="shared" si="144"/>
        <v>777777777</v>
      </c>
    </row>
    <row r="105" spans="2:107" x14ac:dyDescent="0.2">
      <c r="B105" s="141" t="s">
        <v>698</v>
      </c>
      <c r="I105" s="2"/>
      <c r="M105"/>
      <c r="N105"/>
      <c r="Q105"/>
      <c r="R105"/>
      <c r="T105" s="197"/>
      <c r="X105" s="203"/>
      <c r="Y105" s="203"/>
      <c r="Z105" s="203"/>
      <c r="AA105" s="203"/>
      <c r="AE105" t="str">
        <f>E110</f>
        <v/>
      </c>
      <c r="CU105" s="122" t="str">
        <f t="shared" si="139"/>
        <v/>
      </c>
      <c r="CV105" s="122" t="str">
        <f t="shared" si="140"/>
        <v/>
      </c>
      <c r="CW105" s="122"/>
      <c r="CX105" s="122" t="str">
        <f t="shared" si="141"/>
        <v/>
      </c>
      <c r="CY105" s="122" t="str">
        <f t="shared" si="142"/>
        <v/>
      </c>
      <c r="CZ105" s="122" t="s">
        <v>20</v>
      </c>
      <c r="DA105" s="122" t="str">
        <f t="shared" si="143"/>
        <v/>
      </c>
      <c r="DB105" s="122" t="str">
        <f>IF($BA82="","",INDEX(R$78:R$83,MATCH($BA82,$J$78:$J$83,0)))</f>
        <v/>
      </c>
      <c r="DC105" s="122"/>
    </row>
    <row r="106" spans="2:107" x14ac:dyDescent="0.2">
      <c r="I106" s="2"/>
      <c r="T106" s="197"/>
      <c r="W106" s="38" t="s">
        <v>59</v>
      </c>
      <c r="X106" s="39">
        <f>AG106*Spielregeln!E37</f>
        <v>0</v>
      </c>
      <c r="Y106" s="39"/>
      <c r="Z106" s="39"/>
      <c r="AA106" s="39"/>
      <c r="AB106" s="39"/>
      <c r="AC106" s="39"/>
      <c r="AD106" s="39"/>
      <c r="AE106" s="39"/>
      <c r="AF106" s="40" t="s">
        <v>84</v>
      </c>
      <c r="AG106" s="39">
        <f>SUM(CR56:CR57)</f>
        <v>0</v>
      </c>
      <c r="AH106" s="39"/>
      <c r="AI106" s="41"/>
      <c r="CU106" s="122" t="str">
        <f t="shared" si="139"/>
        <v/>
      </c>
      <c r="CV106" s="122" t="str">
        <f t="shared" si="140"/>
        <v/>
      </c>
      <c r="CW106" s="122"/>
      <c r="CX106" s="122" t="str">
        <f t="shared" si="141"/>
        <v/>
      </c>
      <c r="CY106" s="122" t="str">
        <f t="shared" si="142"/>
        <v/>
      </c>
      <c r="CZ106" s="122" t="s">
        <v>20</v>
      </c>
      <c r="DA106" s="122" t="str">
        <f t="shared" si="143"/>
        <v/>
      </c>
      <c r="DB106" s="122" t="str">
        <f>IF($BA83="","",INDEX(R$78:R$83,MATCH($BA83,$J$78:$J$83,0)))</f>
        <v/>
      </c>
      <c r="DC106" s="122"/>
    </row>
    <row r="107" spans="2:107" x14ac:dyDescent="0.2">
      <c r="I107" s="2"/>
      <c r="T107" s="197"/>
      <c r="CU107" s="122"/>
      <c r="CV107" s="122"/>
      <c r="CW107" s="122"/>
      <c r="CX107" s="122"/>
      <c r="CY107" s="122"/>
      <c r="CZ107" s="122"/>
      <c r="DA107" s="122"/>
      <c r="DB107" s="122"/>
      <c r="DC107" s="122"/>
    </row>
    <row r="108" spans="2:107" ht="13.5" thickBot="1" x14ac:dyDescent="0.25">
      <c r="B108" s="147"/>
      <c r="C108" s="148" t="s">
        <v>19</v>
      </c>
      <c r="D108" s="148"/>
      <c r="E108" s="148"/>
      <c r="F108" s="148"/>
      <c r="G108" s="148"/>
      <c r="H108" s="148"/>
      <c r="I108" s="148"/>
      <c r="J108" s="148"/>
      <c r="K108" s="148"/>
      <c r="L108" s="148"/>
      <c r="M108" s="148" t="s">
        <v>12</v>
      </c>
      <c r="N108" s="148"/>
      <c r="O108" s="148"/>
      <c r="P108" s="148"/>
      <c r="Q108" s="148" t="s">
        <v>23</v>
      </c>
      <c r="R108" s="148"/>
      <c r="T108" s="197" t="s">
        <v>111</v>
      </c>
      <c r="W108" s="157" t="s">
        <v>109</v>
      </c>
      <c r="X108" s="157"/>
      <c r="Y108" s="157"/>
      <c r="Z108" s="157"/>
      <c r="AA108" s="157"/>
      <c r="AB108" s="157"/>
      <c r="AC108" s="157"/>
      <c r="AD108" s="157"/>
      <c r="AE108" s="157"/>
      <c r="AF108" s="157"/>
      <c r="AG108" s="157"/>
      <c r="AH108" s="157"/>
      <c r="AI108" s="157"/>
      <c r="CU108" s="122"/>
      <c r="CV108" s="122"/>
      <c r="CW108" s="122"/>
      <c r="CX108" s="122"/>
      <c r="CY108" s="122"/>
      <c r="CZ108" s="122"/>
      <c r="DA108" s="122"/>
      <c r="DB108" s="122"/>
      <c r="DC108" s="140">
        <f>SUM(DC101:DC104)</f>
        <v>3111111108</v>
      </c>
    </row>
    <row r="109" spans="2:107" ht="13.5" thickTop="1" x14ac:dyDescent="0.2">
      <c r="I109" s="2"/>
      <c r="T109" s="197"/>
      <c r="X109" s="203"/>
      <c r="Y109" s="203"/>
      <c r="Z109" s="203"/>
      <c r="AA109" s="203"/>
      <c r="AE109" t="str">
        <f>IF(OR(L110="",N110=""),"",IF(Spielregeln!E50="Endergebnis",IF(L110&gt;N110,C110,IF(L110&lt;N110,E110,"")),IF(I110="H",C110,IF(I110="A",E110,""))))</f>
        <v/>
      </c>
      <c r="CU109" s="122"/>
      <c r="CV109" s="122"/>
      <c r="CW109" s="122"/>
      <c r="CX109" s="122"/>
      <c r="CY109" s="122"/>
      <c r="CZ109" s="122"/>
      <c r="DA109" s="122"/>
      <c r="DB109" s="122"/>
      <c r="DC109" s="122"/>
    </row>
    <row r="110" spans="2:107" x14ac:dyDescent="0.2">
      <c r="B110" s="36" t="s">
        <v>98</v>
      </c>
      <c r="C110" t="str">
        <f>IF(Spielregeln!E50="Endergebnis",IF(OR(L101="",N101="",L101=N101),"",IF(L101&gt;N101,C101,E101)),IF(OR(Spielregeln!E50="90 Minuten",Spielregeln!E50="120 Minuten"),IF(I101="H",C101,IF(I101="A",E101,"")),""))</f>
        <v/>
      </c>
      <c r="E110" t="str">
        <f>IF(Spielregeln!E50="Endergebnis",IF(OR(L104="",N104="",L104=N104),"",IF(L104&gt;N104,C104,E104)),IF(OR(Spielregeln!E50="90 Minuten",Spielregeln!E50="120 Minuten"),IF(I104="H",C104,IF(I104="A",E104,"")),""))</f>
        <v/>
      </c>
      <c r="I110" s="196"/>
      <c r="L110" s="194"/>
      <c r="M110" s="2" t="s">
        <v>20</v>
      </c>
      <c r="N110" s="194"/>
      <c r="O110" s="2"/>
      <c r="P110" s="195"/>
      <c r="Q110" s="2" t="s">
        <v>20</v>
      </c>
      <c r="R110" s="195"/>
      <c r="T110" s="197">
        <f>CD101</f>
        <v>0</v>
      </c>
      <c r="W110" s="38" t="s">
        <v>59</v>
      </c>
      <c r="X110" s="39">
        <f>AG110*Spielregeln!E38</f>
        <v>0</v>
      </c>
      <c r="Y110" s="39"/>
      <c r="Z110" s="39"/>
      <c r="AA110" s="39"/>
      <c r="AB110" s="39"/>
      <c r="AC110" s="39"/>
      <c r="AD110" s="39"/>
      <c r="AE110" s="39"/>
      <c r="AF110" s="40" t="s">
        <v>84</v>
      </c>
      <c r="AG110" s="39">
        <f>SUM(CR62)</f>
        <v>0</v>
      </c>
      <c r="AH110" s="39"/>
      <c r="AI110" s="41"/>
      <c r="CU110" s="126" t="s">
        <v>514</v>
      </c>
      <c r="CV110" s="126" t="s">
        <v>422</v>
      </c>
      <c r="CW110" s="122"/>
      <c r="CX110" s="122"/>
      <c r="CY110" s="122"/>
      <c r="CZ110" s="122"/>
      <c r="DA110" s="122"/>
      <c r="DB110" s="122"/>
      <c r="DC110" s="122"/>
    </row>
    <row r="111" spans="2:107" x14ac:dyDescent="0.2">
      <c r="B111" s="36" t="s">
        <v>699</v>
      </c>
      <c r="M111"/>
      <c r="N111"/>
      <c r="Q111"/>
      <c r="R111"/>
      <c r="CU111" s="126" t="s">
        <v>424</v>
      </c>
      <c r="CV111" s="122" t="e">
        <f>VLOOKUP($DC$108,$CV$73:$CZ$87,2,FALSE)</f>
        <v>#N/A</v>
      </c>
      <c r="CW111" s="122" t="e">
        <f>VLOOKUP(CV111,$CV$101:$DB$104,7,FALSE)</f>
        <v>#N/A</v>
      </c>
      <c r="CX111" s="122"/>
      <c r="CY111" s="122"/>
      <c r="CZ111" s="122"/>
      <c r="DA111" s="122"/>
      <c r="DB111" s="122"/>
      <c r="DC111" s="122"/>
    </row>
    <row r="112" spans="2:107" x14ac:dyDescent="0.2">
      <c r="M112"/>
      <c r="N112"/>
      <c r="Q112"/>
      <c r="R112"/>
      <c r="W112" s="157" t="s">
        <v>208</v>
      </c>
      <c r="X112" s="157"/>
      <c r="Y112" s="157"/>
      <c r="Z112" s="157"/>
      <c r="AA112" s="157"/>
      <c r="AB112" s="157"/>
      <c r="AC112" s="157"/>
      <c r="AD112" s="157"/>
      <c r="AE112" s="157"/>
      <c r="AF112" s="157"/>
      <c r="AG112" s="157"/>
      <c r="AH112" s="157"/>
      <c r="AI112" s="157"/>
      <c r="CU112" s="126" t="s">
        <v>425</v>
      </c>
      <c r="CV112" s="122" t="e">
        <f>VLOOKUP($DC$108,$CV$73:$DA$87,3,FALSE)</f>
        <v>#N/A</v>
      </c>
      <c r="CW112" s="122" t="e">
        <f>VLOOKUP(CV112,$CV$101:$DB$104,7,FALSE)</f>
        <v>#N/A</v>
      </c>
      <c r="CX112" s="122"/>
      <c r="CY112" s="122"/>
      <c r="CZ112" s="122"/>
      <c r="DA112" s="122"/>
      <c r="DB112" s="122"/>
      <c r="DC112" s="122"/>
    </row>
    <row r="113" spans="2:137" x14ac:dyDescent="0.2">
      <c r="M113"/>
      <c r="N113"/>
      <c r="Q113"/>
      <c r="R113" s="2"/>
      <c r="X113" s="203"/>
      <c r="Y113" s="203"/>
      <c r="Z113" s="203"/>
      <c r="AA113" s="203"/>
      <c r="CU113" s="126" t="s">
        <v>512</v>
      </c>
      <c r="CV113" s="122" t="e">
        <f>VLOOKUP($DC$108,$CV$73:$DA$87,4,FALSE)</f>
        <v>#N/A</v>
      </c>
      <c r="CW113" s="122" t="e">
        <f>VLOOKUP(CV113,$CV$101:$DB$104,7,FALSE)</f>
        <v>#N/A</v>
      </c>
      <c r="CX113" s="122"/>
      <c r="CY113" s="122"/>
      <c r="CZ113" s="122"/>
      <c r="DA113" s="122"/>
      <c r="DB113" s="122"/>
      <c r="DC113" s="122"/>
    </row>
    <row r="114" spans="2:137" x14ac:dyDescent="0.2">
      <c r="N114"/>
      <c r="Q114"/>
      <c r="R114"/>
      <c r="W114" s="38" t="s">
        <v>59</v>
      </c>
      <c r="X114" s="39">
        <f>IF(AND(X113=AE113,AE113&lt;&gt;""),Spielregeln!E40,0)</f>
        <v>0</v>
      </c>
      <c r="Y114" s="39"/>
      <c r="Z114" s="39"/>
      <c r="AA114" s="39"/>
      <c r="AB114" s="39"/>
      <c r="AC114" s="39"/>
      <c r="AD114" s="39"/>
      <c r="AE114" s="39"/>
      <c r="AF114" s="40" t="s">
        <v>84</v>
      </c>
      <c r="AG114" s="39">
        <f>IF(AND(X113=AE113,X113&lt;&gt;""),1,0)</f>
        <v>0</v>
      </c>
      <c r="AH114" s="39"/>
      <c r="AI114" s="41"/>
      <c r="CU114" s="126" t="s">
        <v>513</v>
      </c>
      <c r="CV114" s="122" t="e">
        <f>VLOOKUP($DC$108,$CV$73:$DA$87,5,FALSE)</f>
        <v>#N/A</v>
      </c>
      <c r="CW114" s="122" t="e">
        <f>VLOOKUP(CV114,$CV$101:$DB$104,7,FALSE)</f>
        <v>#N/A</v>
      </c>
      <c r="CX114" s="122"/>
      <c r="CY114" s="122"/>
      <c r="CZ114" s="122"/>
      <c r="DA114" s="122"/>
      <c r="DB114" s="122"/>
      <c r="DC114" s="122"/>
    </row>
    <row r="115" spans="2:137" x14ac:dyDescent="0.2">
      <c r="B115" s="212" t="s">
        <v>105</v>
      </c>
      <c r="C115" s="212"/>
      <c r="D115" s="213"/>
      <c r="E115" s="214"/>
      <c r="F115" s="214"/>
      <c r="G115" s="214"/>
      <c r="H115" s="214"/>
      <c r="I115" s="214"/>
      <c r="J115" s="214"/>
      <c r="K115" s="214"/>
      <c r="N115"/>
      <c r="Q115"/>
      <c r="R115"/>
    </row>
    <row r="116" spans="2:137" x14ac:dyDescent="0.2">
      <c r="N116"/>
      <c r="Q116"/>
      <c r="R116"/>
    </row>
    <row r="118" spans="2:137" x14ac:dyDescent="0.2">
      <c r="B118" t="s">
        <v>102</v>
      </c>
      <c r="D118">
        <f>SUM(CD9:CD14,CD20:CD25,CD31:CD36,CD42:CD47,CD53:CD58,CD64:CD69,CD75:CD82,CD87:CD90,CD95:CD96,CD101)</f>
        <v>0</v>
      </c>
      <c r="H118" s="4" t="s">
        <v>99</v>
      </c>
      <c r="M118"/>
      <c r="O118">
        <f>COUNTIF(T59:T110,Spielregeln!F9)+COUNTIF(T9:T47,Spielregeln!D9)+COUNTIF(AN9:AN47,Spielregeln!D9)+COUNTIF(BH9:BH47,Spielregeln!D9)</f>
        <v>0</v>
      </c>
      <c r="EA118" s="116"/>
      <c r="EB118" s="116"/>
      <c r="EC118" s="116"/>
      <c r="ED118" s="116"/>
      <c r="EE118" s="116"/>
      <c r="EF118" s="116"/>
      <c r="EG118" s="116"/>
    </row>
    <row r="119" spans="2:137" x14ac:dyDescent="0.2">
      <c r="B119" t="s">
        <v>103</v>
      </c>
      <c r="D119">
        <f>SUM(X64+X83+X94+X101+X106+X110+X114)</f>
        <v>0</v>
      </c>
      <c r="H119" s="4" t="s">
        <v>100</v>
      </c>
      <c r="M119"/>
      <c r="N119"/>
      <c r="O119">
        <f>COUNTIF(T59:T110,Spielregeln!F10)+COUNTIF(T9:T47,Spielregeln!D10)+COUNTIF(AN9:AN47,Spielregeln!D10)+COUNTIF(BH9:BH47,Spielregeln!D10)</f>
        <v>0</v>
      </c>
      <c r="Q119"/>
      <c r="R119"/>
      <c r="EA119" s="116"/>
      <c r="EB119" s="116"/>
      <c r="EC119" s="116"/>
      <c r="ED119" s="116"/>
      <c r="EE119" s="116"/>
      <c r="EF119" s="116"/>
      <c r="EG119" s="116"/>
    </row>
    <row r="120" spans="2:137" ht="13.5" thickBot="1" x14ac:dyDescent="0.25">
      <c r="B120" s="43" t="s">
        <v>104</v>
      </c>
      <c r="C120" s="43"/>
      <c r="D120" s="43">
        <f>SUM(D118:D119)</f>
        <v>0</v>
      </c>
      <c r="H120" s="42" t="s">
        <v>101</v>
      </c>
      <c r="M120"/>
      <c r="N120"/>
      <c r="O120">
        <f>COUNTIF(T59:T110,Spielregeln!F11)+COUNTIF(T9:T47,Spielregeln!D11)+COUNTIF(AN9:AN47,Spielregeln!D11)+COUNTIF(BH9:BH47,Spielregeln!D11)</f>
        <v>0</v>
      </c>
      <c r="Q120"/>
      <c r="R120"/>
      <c r="EA120" s="116"/>
      <c r="EB120" s="116"/>
      <c r="EC120" s="116"/>
      <c r="ED120" s="116"/>
      <c r="EE120" s="116"/>
      <c r="EF120" s="116"/>
      <c r="EG120" s="116"/>
    </row>
    <row r="121" spans="2:137" ht="13.5" thickTop="1" x14ac:dyDescent="0.2"/>
  </sheetData>
  <sheetProtection algorithmName="SHA-512" hashValue="FrKcHpT7q19zqkqpznyx8IngcZXq5LatwXDBl1OZvKpV0pFQIta3CeTtV3wQf6U9wN8UPvdI5QyBrGv6qcpiGg==" saltValue="qX/vjheYZGw9f3zUp0HI4g==" spinCount="100000" sheet="1" objects="1" scenarios="1" selectLockedCells="1"/>
  <sortState xmlns:xlrd2="http://schemas.microsoft.com/office/spreadsheetml/2017/richdata2" ref="CS62:DH65">
    <sortCondition descending="1" ref="DD62"/>
    <sortCondition descending="1" ref="CZ62"/>
    <sortCondition descending="1" ref="CX62"/>
  </sortState>
  <mergeCells count="70">
    <mergeCell ref="B115:C115"/>
    <mergeCell ref="X104:AA104"/>
    <mergeCell ref="X105:AA105"/>
    <mergeCell ref="X90:AA90"/>
    <mergeCell ref="X91:AA91"/>
    <mergeCell ref="X92:AA92"/>
    <mergeCell ref="X93:AA93"/>
    <mergeCell ref="X109:AA109"/>
    <mergeCell ref="D115:K115"/>
    <mergeCell ref="X97:AA97"/>
    <mergeCell ref="X98:AA98"/>
    <mergeCell ref="X99:AA99"/>
    <mergeCell ref="X100:AA100"/>
    <mergeCell ref="X113:AA113"/>
    <mergeCell ref="CF84:CH84"/>
    <mergeCell ref="CF92:CH92"/>
    <mergeCell ref="CF98:CH98"/>
    <mergeCell ref="CF39:CH39"/>
    <mergeCell ref="X87:AA87"/>
    <mergeCell ref="X88:AA88"/>
    <mergeCell ref="X89:AA89"/>
    <mergeCell ref="CF50:CH50"/>
    <mergeCell ref="X56:AA56"/>
    <mergeCell ref="AE56:AI56"/>
    <mergeCell ref="X86:AA86"/>
    <mergeCell ref="X58:AA58"/>
    <mergeCell ref="X59:AA59"/>
    <mergeCell ref="X60:AA60"/>
    <mergeCell ref="X61:AA61"/>
    <mergeCell ref="X72:AA72"/>
    <mergeCell ref="CI40:CJ40"/>
    <mergeCell ref="CK40:CN40"/>
    <mergeCell ref="CO40:CP40"/>
    <mergeCell ref="CF28:CH28"/>
    <mergeCell ref="CI29:CJ29"/>
    <mergeCell ref="CK29:CN29"/>
    <mergeCell ref="CO29:CP29"/>
    <mergeCell ref="CF17:CH17"/>
    <mergeCell ref="CI18:CJ18"/>
    <mergeCell ref="CK18:CN18"/>
    <mergeCell ref="CO18:CP18"/>
    <mergeCell ref="CF6:CH6"/>
    <mergeCell ref="CI7:CJ7"/>
    <mergeCell ref="CK7:CN7"/>
    <mergeCell ref="CO7:CP7"/>
    <mergeCell ref="CI51:CJ51"/>
    <mergeCell ref="X62:AA62"/>
    <mergeCell ref="X63:AA63"/>
    <mergeCell ref="CK51:CN51"/>
    <mergeCell ref="CO51:CP51"/>
    <mergeCell ref="CF61:CH61"/>
    <mergeCell ref="CI62:CJ62"/>
    <mergeCell ref="CK62:CN62"/>
    <mergeCell ref="CO62:CP62"/>
    <mergeCell ref="X67:AA67"/>
    <mergeCell ref="X68:AA68"/>
    <mergeCell ref="X69:AA69"/>
    <mergeCell ref="X70:AA70"/>
    <mergeCell ref="X71:AA71"/>
    <mergeCell ref="X79:AA79"/>
    <mergeCell ref="X80:AA80"/>
    <mergeCell ref="X81:AA81"/>
    <mergeCell ref="X82:AA82"/>
    <mergeCell ref="CF72:CH72"/>
    <mergeCell ref="X75:AA75"/>
    <mergeCell ref="X76:AA76"/>
    <mergeCell ref="X77:AA77"/>
    <mergeCell ref="X78:AA78"/>
    <mergeCell ref="X73:AA73"/>
    <mergeCell ref="X74:AA74"/>
  </mergeCells>
  <phoneticPr fontId="1" type="noConversion"/>
  <conditionalFormatting sqref="CD101:CE101 CD95:CE96 CD87:CE91 CD9:CE14 CD31:CE36 CD20:CE25">
    <cfRule type="cellIs" dxfId="28" priority="27" stopIfTrue="1" operator="equal">
      <formula>3</formula>
    </cfRule>
    <cfRule type="cellIs" dxfId="27" priority="28" stopIfTrue="1" operator="equal">
      <formula>2</formula>
    </cfRule>
  </conditionalFormatting>
  <conditionalFormatting sqref="CD64:CE64 CD53:CE58">
    <cfRule type="cellIs" dxfId="26" priority="25" stopIfTrue="1" operator="equal">
      <formula>3</formula>
    </cfRule>
    <cfRule type="cellIs" dxfId="25" priority="26" stopIfTrue="1" operator="equal">
      <formula>2</formula>
    </cfRule>
  </conditionalFormatting>
  <conditionalFormatting sqref="CD44:CE44">
    <cfRule type="cellIs" dxfId="24" priority="21" stopIfTrue="1" operator="equal">
      <formula>3</formula>
    </cfRule>
    <cfRule type="cellIs" dxfId="23" priority="22" stopIfTrue="1" operator="equal">
      <formula>2</formula>
    </cfRule>
  </conditionalFormatting>
  <conditionalFormatting sqref="CD42:CE43">
    <cfRule type="cellIs" dxfId="22" priority="23" stopIfTrue="1" operator="equal">
      <formula>3</formula>
    </cfRule>
    <cfRule type="cellIs" dxfId="21" priority="24" stopIfTrue="1" operator="equal">
      <formula>2</formula>
    </cfRule>
  </conditionalFormatting>
  <conditionalFormatting sqref="CD45:CE45">
    <cfRule type="cellIs" dxfId="20" priority="19" stopIfTrue="1" operator="equal">
      <formula>3</formula>
    </cfRule>
    <cfRule type="cellIs" dxfId="19" priority="20" stopIfTrue="1" operator="equal">
      <formula>2</formula>
    </cfRule>
  </conditionalFormatting>
  <conditionalFormatting sqref="CD46:CE46">
    <cfRule type="cellIs" dxfId="18" priority="17" stopIfTrue="1" operator="equal">
      <formula>3</formula>
    </cfRule>
    <cfRule type="cellIs" dxfId="17" priority="18" stopIfTrue="1" operator="equal">
      <formula>2</formula>
    </cfRule>
  </conditionalFormatting>
  <conditionalFormatting sqref="CD47:CE47">
    <cfRule type="cellIs" dxfId="16" priority="15" stopIfTrue="1" operator="equal">
      <formula>3</formula>
    </cfRule>
    <cfRule type="cellIs" dxfId="15" priority="16" stopIfTrue="1" operator="equal">
      <formula>2</formula>
    </cfRule>
  </conditionalFormatting>
  <conditionalFormatting sqref="CD65:CE65">
    <cfRule type="cellIs" dxfId="14" priority="13" stopIfTrue="1" operator="equal">
      <formula>3</formula>
    </cfRule>
    <cfRule type="cellIs" dxfId="13" priority="14" stopIfTrue="1" operator="equal">
      <formula>2</formula>
    </cfRule>
  </conditionalFormatting>
  <conditionalFormatting sqref="CD66:CE66">
    <cfRule type="cellIs" dxfId="12" priority="11" stopIfTrue="1" operator="equal">
      <formula>3</formula>
    </cfRule>
    <cfRule type="cellIs" dxfId="11" priority="12" stopIfTrue="1" operator="equal">
      <formula>2</formula>
    </cfRule>
  </conditionalFormatting>
  <conditionalFormatting sqref="CD67:CE67">
    <cfRule type="cellIs" dxfId="10" priority="9" stopIfTrue="1" operator="equal">
      <formula>3</formula>
    </cfRule>
    <cfRule type="cellIs" dxfId="9" priority="10" stopIfTrue="1" operator="equal">
      <formula>2</formula>
    </cfRule>
  </conditionalFormatting>
  <conditionalFormatting sqref="CD68:CE68">
    <cfRule type="cellIs" dxfId="8" priority="7" stopIfTrue="1" operator="equal">
      <formula>3</formula>
    </cfRule>
    <cfRule type="cellIs" dxfId="7" priority="8" stopIfTrue="1" operator="equal">
      <formula>2</formula>
    </cfRule>
  </conditionalFormatting>
  <conditionalFormatting sqref="CD69:CE69">
    <cfRule type="cellIs" dxfId="6" priority="5" stopIfTrue="1" operator="equal">
      <formula>3</formula>
    </cfRule>
    <cfRule type="cellIs" dxfId="5" priority="6" stopIfTrue="1" operator="equal">
      <formula>2</formula>
    </cfRule>
  </conditionalFormatting>
  <conditionalFormatting sqref="CD75:CD83">
    <cfRule type="cellIs" dxfId="4" priority="1" stopIfTrue="1" operator="equal">
      <formula>3</formula>
    </cfRule>
    <cfRule type="cellIs" dxfId="3" priority="2" stopIfTrue="1" operator="equal">
      <formula>2</formula>
    </cfRule>
  </conditionalFormatting>
  <conditionalFormatting sqref="CE76:CE83">
    <cfRule type="cellIs" dxfId="2" priority="3" stopIfTrue="1" operator="equal">
      <formula>3</formula>
    </cfRule>
    <cfRule type="cellIs" dxfId="1" priority="4" stopIfTrue="1" operator="equal">
      <formula>2</formula>
    </cfRule>
  </conditionalFormatting>
  <dataValidations count="7">
    <dataValidation type="list" allowBlank="1" showInputMessage="1" showErrorMessage="1" sqref="X109 X86:X93 X97:X100 X104:X105 X67:X82" xr:uid="{00000000-0002-0000-0100-000000000000}">
      <formula1>Land</formula1>
    </dataValidation>
    <dataValidation type="list" errorStyle="warning" allowBlank="1" showInputMessage="1" showErrorMessage="1" errorTitle="Fehlerhafte Eingabe" error="Bitte wählen Sie über den Pfeil-Button die Mannschaft aus." sqref="X58:AA58" xr:uid="{00000000-0002-0000-0100-000001000000}">
      <formula1>Gruppe_A</formula1>
    </dataValidation>
    <dataValidation type="list" errorStyle="warning" allowBlank="1" showInputMessage="1" showErrorMessage="1" errorTitle="Fehlerhafte Eingabe" error="Bitte wählen Sie über den Pfeil-Button die Mannschaft aus." sqref="X59:AA59" xr:uid="{00000000-0002-0000-0100-000002000000}">
      <formula1>Gruppe_B</formula1>
    </dataValidation>
    <dataValidation type="list" errorStyle="warning" allowBlank="1" showInputMessage="1" showErrorMessage="1" errorTitle="Fehlerhafte Eingabe" error="Bitte wählen Sie über den Pfeil-Button die Mannschaft aus." sqref="X60:AA60" xr:uid="{00000000-0002-0000-0100-000003000000}">
      <formula1>Gruppe_C</formula1>
    </dataValidation>
    <dataValidation type="list" errorStyle="warning" allowBlank="1" showInputMessage="1" showErrorMessage="1" errorTitle="Fehlerhafte Eingabe" error="Bitte wählen Sie über den Pfeil-Button die Mannschaft aus." sqref="X61:AA61" xr:uid="{00000000-0002-0000-0100-000004000000}">
      <formula1>Gruppe_D</formula1>
    </dataValidation>
    <dataValidation type="list" errorStyle="warning" allowBlank="1" showInputMessage="1" showErrorMessage="1" errorTitle="Fehlerhafte Eingabe" error="Bitte wählen Sie über den Pfeil-Button die Mannschaft aus." sqref="X62:AA62" xr:uid="{00000000-0002-0000-0100-000005000000}">
      <formula1>Gruppe_E</formula1>
    </dataValidation>
    <dataValidation type="list" errorStyle="warning" allowBlank="1" showInputMessage="1" showErrorMessage="1" errorTitle="Fehlerhafte Eingabe" error="Bitte wählen Sie über den Pfeil-Button die Mannschaft aus." sqref="X63:AA63" xr:uid="{00000000-0002-0000-0100-000006000000}">
      <formula1>Gruppe_F</formula1>
    </dataValidation>
  </dataValidations>
  <pageMargins left="0.70866141732283472" right="0.70866141732283472" top="0.98425196850393704" bottom="0.98425196850393704" header="0.51181102362204722" footer="0.51181102362204722"/>
  <pageSetup paperSize="9" scale="57" pageOrder="overThenDown" orientation="landscape" horizontalDpi="300" verticalDpi="300" r:id="rId1"/>
  <headerFooter alignWithMargins="0">
    <oddHeader>&amp;C&amp;18UEFA Euro 2021 Excel Tippspiel</oddHeader>
    <oddFooter>&amp;LUEFA Euro 2021 Excel-Tippspiel
www.makro-excel.de&amp;C&amp;P von &amp;N</oddFooter>
  </headerFooter>
  <rowBreaks count="2" manualBreakCount="2">
    <brk id="28" max="60" man="1"/>
    <brk id="83" max="60" man="1"/>
  </rowBreaks>
  <colBreaks count="1" manualBreakCount="1">
    <brk id="61" max="119" man="1"/>
  </col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F368ABA5-26A7-4F7A-ACA1-DA070F46B4D0}">
          <x14:formula1>
            <xm:f>Spielregeln!$I$56:$I$58</xm:f>
          </x14:formula1>
          <xm:sqref>I110 I59 I62 I65 I68 I71 I74 I77 I80 I86 I89 I92 I95 I101 I104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F72B8-AB8E-4E98-921A-59ED5254A499}">
  <sheetPr codeName="Tabelle5">
    <tabColor rgb="FFFF0000"/>
  </sheetPr>
  <dimension ref="A1:U103"/>
  <sheetViews>
    <sheetView showGridLines="0" showRowColHeaders="0" workbookViewId="0">
      <pane ySplit="1" topLeftCell="A35" activePane="bottomLeft" state="frozen"/>
      <selection pane="bottomLeft" activeCell="C102" sqref="C102"/>
    </sheetView>
  </sheetViews>
  <sheetFormatPr baseColWidth="10" defaultRowHeight="12.75" x14ac:dyDescent="0.2"/>
  <cols>
    <col min="1" max="1" width="15.28515625" bestFit="1" customWidth="1"/>
    <col min="3" max="3" width="15.28515625" style="50" bestFit="1" customWidth="1"/>
    <col min="6" max="6" width="30.7109375" bestFit="1" customWidth="1"/>
    <col min="7" max="7" width="31" bestFit="1" customWidth="1"/>
    <col min="8" max="8" width="20.28515625" bestFit="1" customWidth="1"/>
    <col min="9" max="9" width="31" bestFit="1" customWidth="1"/>
    <col min="17" max="17" width="15.28515625" bestFit="1" customWidth="1"/>
    <col min="21" max="21" width="11.42578125" style="33"/>
  </cols>
  <sheetData>
    <row r="1" spans="1:21" x14ac:dyDescent="0.2">
      <c r="A1" t="s">
        <v>524</v>
      </c>
      <c r="B1" t="s">
        <v>525</v>
      </c>
      <c r="F1" s="83" t="s">
        <v>23</v>
      </c>
      <c r="H1" s="83" t="s">
        <v>526</v>
      </c>
      <c r="I1" s="83" t="s">
        <v>527</v>
      </c>
      <c r="J1" s="83" t="s">
        <v>528</v>
      </c>
      <c r="T1" s="83" t="s">
        <v>705</v>
      </c>
    </row>
    <row r="2" spans="1:21" x14ac:dyDescent="0.2">
      <c r="A2" s="173" t="s">
        <v>37</v>
      </c>
      <c r="B2" s="173" t="s">
        <v>4</v>
      </c>
      <c r="C2" s="173" t="s">
        <v>511</v>
      </c>
      <c r="D2" s="173">
        <v>9</v>
      </c>
      <c r="F2" t="str">
        <f>Spielplan!P9&amp;":"&amp;Spielplan!R9</f>
        <v>:</v>
      </c>
      <c r="G2" t="s">
        <v>540</v>
      </c>
      <c r="I2" t="str">
        <f t="shared" ref="I2:I32" si="0">IF(OR(A2="A",A2="D",A2="AF",A2="VF",A2="HF",A2="FF"),"Spielplan!"&amp;$N$2&amp;D2&amp;"&amp;"":""&amp;Spielplan!"&amp;$O$2&amp;D2,IF(OR(A2="B",A2="E"),"Spielplan!"&amp;$N$4&amp;D2&amp;"&amp;"":""&amp;Spielplan!"&amp;$O$4&amp;D2,IF(OR(A2="C",A2="F"),"Spielplan!"&amp;$N$6&amp;D2&amp;"&amp;"":""&amp;Spielplan!"&amp;$O$6&amp;D2,"")))</f>
        <v>Spielplan!P9&amp;":"&amp;Spielplan!R9</v>
      </c>
      <c r="M2" s="83" t="s">
        <v>37</v>
      </c>
      <c r="N2" s="83" t="s">
        <v>529</v>
      </c>
      <c r="O2" s="83" t="s">
        <v>530</v>
      </c>
      <c r="P2" s="83" t="s">
        <v>531</v>
      </c>
      <c r="Q2" s="172" t="s">
        <v>37</v>
      </c>
      <c r="R2" s="173" t="s">
        <v>4</v>
      </c>
      <c r="S2" s="173" t="s">
        <v>511</v>
      </c>
      <c r="T2" s="83">
        <v>9</v>
      </c>
      <c r="U2" s="83"/>
    </row>
    <row r="3" spans="1:21" x14ac:dyDescent="0.2">
      <c r="A3" s="176">
        <v>45457.875</v>
      </c>
      <c r="B3" s="173"/>
      <c r="C3" s="173"/>
      <c r="D3" s="174"/>
      <c r="F3" t="str">
        <f>"("&amp;Spielplan!T9&amp;")"</f>
        <v>(0)</v>
      </c>
      <c r="G3" t="s">
        <v>541</v>
      </c>
      <c r="H3" t="s">
        <v>542</v>
      </c>
      <c r="I3" t="str">
        <f>IF(OR(A2="A",A2="D",A2="AF",A2="VF",A2="HF",A2="FF"),"""(""&amp;Spielplan!"&amp;$P$2&amp;D2&amp;"&amp;"")""",IF(OR(A2="B",A2="E"),"""(""&amp;Spielplan!"&amp;$P$4&amp;D2&amp;"&amp;"")""",IF(OR(A2="C",A2="F"),"""(""&amp;Spielplan!"&amp;$P$6&amp;D2&amp;"&amp;"")""","")))</f>
        <v>"("&amp;Spielplan!T9&amp;")"</v>
      </c>
      <c r="M3" s="83" t="s">
        <v>40</v>
      </c>
      <c r="N3" s="83" t="s">
        <v>529</v>
      </c>
      <c r="O3" s="83" t="s">
        <v>530</v>
      </c>
      <c r="P3" s="83" t="s">
        <v>531</v>
      </c>
      <c r="Q3" s="172">
        <v>45457.875</v>
      </c>
      <c r="R3" s="173"/>
      <c r="S3" s="173"/>
      <c r="T3" s="83"/>
      <c r="U3" s="83"/>
    </row>
    <row r="4" spans="1:21" x14ac:dyDescent="0.2">
      <c r="A4" s="173" t="s">
        <v>37</v>
      </c>
      <c r="B4" s="83" t="s">
        <v>185</v>
      </c>
      <c r="C4" s="83" t="s">
        <v>180</v>
      </c>
      <c r="D4">
        <v>11</v>
      </c>
      <c r="F4" t="str">
        <f>Spielplan!P11&amp;":"&amp;Spielplan!R11</f>
        <v>:</v>
      </c>
      <c r="G4" t="s">
        <v>543</v>
      </c>
      <c r="H4" t="s">
        <v>541</v>
      </c>
      <c r="I4" t="str">
        <f t="shared" si="0"/>
        <v>Spielplan!P11&amp;":"&amp;Spielplan!R11</v>
      </c>
      <c r="J4" t="str">
        <f t="shared" ref="J4:J66" si="1">IF(OR(A3="A",A3="D",A3="AF",A3="VF",A3="HF",A3="FF"),"""(""&amp;Spielplan!"&amp;$P$2&amp;D3&amp;"&amp;"")""",IF(OR(A3="B",A3="E"),"""(""&amp;Spielplan!"&amp;$P$4&amp;D3&amp;"&amp;"")""",IF(OR(A3="C",A3="F"),"""(""&amp;Spielplan!"&amp;$P$6&amp;D3&amp;"&amp;"")""","")))</f>
        <v/>
      </c>
      <c r="M4" s="83" t="s">
        <v>38</v>
      </c>
      <c r="N4" s="83" t="s">
        <v>532</v>
      </c>
      <c r="O4" s="83" t="s">
        <v>625</v>
      </c>
      <c r="P4" s="83" t="s">
        <v>533</v>
      </c>
      <c r="Q4" s="175" t="s">
        <v>37</v>
      </c>
      <c r="R4" s="83" t="s">
        <v>185</v>
      </c>
      <c r="S4" s="83" t="s">
        <v>180</v>
      </c>
      <c r="T4" s="83">
        <v>11</v>
      </c>
      <c r="U4" s="83"/>
    </row>
    <row r="5" spans="1:21" x14ac:dyDescent="0.2">
      <c r="A5" s="176">
        <v>45458.625</v>
      </c>
      <c r="B5" s="83"/>
      <c r="C5" s="83"/>
      <c r="F5" t="str">
        <f>"("&amp;Spielplan!T11&amp;")"</f>
        <v>(0)</v>
      </c>
      <c r="G5" t="s">
        <v>541</v>
      </c>
      <c r="H5" t="s">
        <v>544</v>
      </c>
      <c r="I5" t="str">
        <f>IF(OR(A4="A",A4="D",A4="AF",A4="VF",A4="HF",A4="FF"),"""(""&amp;Spielplan!"&amp;$P$2&amp;D4&amp;"&amp;"")""",IF(OR(A4="B",A4="E"),"""(""&amp;Spielplan!"&amp;$P$4&amp;D4&amp;"&amp;"")""",IF(OR(A4="C",A4="F"),"""(""&amp;Spielplan!"&amp;$P$6&amp;D4&amp;"&amp;"")""","")))</f>
        <v>"("&amp;Spielplan!T11&amp;")"</v>
      </c>
      <c r="M5" s="83" t="s">
        <v>198</v>
      </c>
      <c r="N5" s="83" t="s">
        <v>532</v>
      </c>
      <c r="O5" s="83" t="s">
        <v>625</v>
      </c>
      <c r="P5" s="83" t="s">
        <v>533</v>
      </c>
      <c r="Q5" s="175">
        <v>45458.625</v>
      </c>
      <c r="R5" s="83"/>
      <c r="S5" s="83"/>
      <c r="T5" s="83"/>
      <c r="U5" s="83"/>
    </row>
    <row r="6" spans="1:21" x14ac:dyDescent="0.2">
      <c r="A6" s="173" t="s">
        <v>38</v>
      </c>
      <c r="B6" s="173" t="s">
        <v>6</v>
      </c>
      <c r="C6" s="173" t="s">
        <v>9</v>
      </c>
      <c r="D6" s="173">
        <v>9</v>
      </c>
      <c r="F6" t="str">
        <f>Spielplan!AJ9&amp;":"&amp;Spielplan!AL9</f>
        <v>:</v>
      </c>
      <c r="G6" t="s">
        <v>626</v>
      </c>
      <c r="H6" t="s">
        <v>541</v>
      </c>
      <c r="I6" t="str">
        <f t="shared" si="0"/>
        <v>Spielplan!AJ9&amp;":"&amp;Spielplan!AL9</v>
      </c>
      <c r="J6" t="str">
        <f t="shared" si="1"/>
        <v/>
      </c>
      <c r="M6" s="83" t="s">
        <v>39</v>
      </c>
      <c r="N6" s="83" t="s">
        <v>534</v>
      </c>
      <c r="O6" s="83" t="s">
        <v>535</v>
      </c>
      <c r="P6" s="83" t="s">
        <v>536</v>
      </c>
      <c r="Q6" s="172" t="s">
        <v>38</v>
      </c>
      <c r="R6" s="173" t="s">
        <v>6</v>
      </c>
      <c r="S6" s="173" t="s">
        <v>9</v>
      </c>
      <c r="T6" s="83">
        <v>9</v>
      </c>
      <c r="U6" s="83"/>
    </row>
    <row r="7" spans="1:21" x14ac:dyDescent="0.2">
      <c r="A7" s="176">
        <v>45458.75</v>
      </c>
      <c r="B7" s="173"/>
      <c r="C7" s="173"/>
      <c r="D7" s="174"/>
      <c r="F7" t="str">
        <f>"("&amp;Spielplan!AN9&amp;")"</f>
        <v>(0)</v>
      </c>
      <c r="G7" t="s">
        <v>541</v>
      </c>
      <c r="H7" t="s">
        <v>638</v>
      </c>
      <c r="I7" t="str">
        <f>IF(OR(A6="A",A6="D",A6="AF",A6="VF",A6="HF",A6="FF"),"""(""&amp;Spielplan!"&amp;$P$2&amp;D6&amp;"&amp;"")""",IF(OR(A6="B",A6="E"),"""(""&amp;Spielplan!"&amp;$P$4&amp;D6&amp;"&amp;"")""",IF(OR(A6="C",A6="F"),"""(""&amp;Spielplan!"&amp;$P$6&amp;D6&amp;"&amp;"")""","")))</f>
        <v>"("&amp;Spielplan!AN9&amp;")"</v>
      </c>
      <c r="M7" s="83" t="s">
        <v>98</v>
      </c>
      <c r="N7" s="83" t="s">
        <v>534</v>
      </c>
      <c r="O7" s="83" t="s">
        <v>535</v>
      </c>
      <c r="P7" s="83" t="s">
        <v>536</v>
      </c>
      <c r="Q7" s="172">
        <v>45458.75</v>
      </c>
      <c r="R7" s="173"/>
      <c r="S7" s="173"/>
      <c r="T7" s="83"/>
      <c r="U7" s="83"/>
    </row>
    <row r="8" spans="1:21" x14ac:dyDescent="0.2">
      <c r="A8" s="173" t="s">
        <v>38</v>
      </c>
      <c r="B8" s="83" t="s">
        <v>7</v>
      </c>
      <c r="C8" s="83" t="s">
        <v>651</v>
      </c>
      <c r="D8">
        <v>11</v>
      </c>
      <c r="F8" t="str">
        <f>Spielplan!AJ11&amp;":"&amp;Spielplan!AL11</f>
        <v>:</v>
      </c>
      <c r="G8" t="s">
        <v>627</v>
      </c>
      <c r="H8" t="s">
        <v>541</v>
      </c>
      <c r="I8" t="str">
        <f t="shared" si="0"/>
        <v>Spielplan!AJ11&amp;":"&amp;Spielplan!AL11</v>
      </c>
      <c r="J8" t="str">
        <f t="shared" si="1"/>
        <v/>
      </c>
      <c r="M8" s="83" t="s">
        <v>281</v>
      </c>
      <c r="N8" s="83" t="s">
        <v>529</v>
      </c>
      <c r="O8" s="83" t="s">
        <v>530</v>
      </c>
      <c r="P8" s="83" t="s">
        <v>531</v>
      </c>
      <c r="Q8" s="175" t="s">
        <v>38</v>
      </c>
      <c r="R8" s="83" t="s">
        <v>7</v>
      </c>
      <c r="S8" s="83" t="s">
        <v>651</v>
      </c>
      <c r="T8" s="83">
        <v>11</v>
      </c>
      <c r="U8" s="83"/>
    </row>
    <row r="9" spans="1:21" x14ac:dyDescent="0.2">
      <c r="A9" s="176">
        <v>45458.875</v>
      </c>
      <c r="B9" s="83"/>
      <c r="C9" s="83"/>
      <c r="F9" t="str">
        <f>"("&amp;Spielplan!AN11&amp;")"</f>
        <v>(0)</v>
      </c>
      <c r="G9" t="s">
        <v>541</v>
      </c>
      <c r="H9" t="s">
        <v>545</v>
      </c>
      <c r="I9" t="str">
        <f>IF(OR(A8="A",A8="D",A8="AF",A8="VF",A8="HF",A8="FF"),"""(""&amp;Spielplan!"&amp;$P$2&amp;D8&amp;"&amp;"")""",IF(OR(A8="B",A8="E"),"""(""&amp;Spielplan!"&amp;$P$4&amp;D8&amp;"&amp;"")""",IF(OR(A8="C",A8="F"),"""(""&amp;Spielplan!"&amp;$P$6&amp;D8&amp;"&amp;"")""","")))</f>
        <v>"("&amp;Spielplan!AN11&amp;")"</v>
      </c>
      <c r="M9" s="83" t="s">
        <v>298</v>
      </c>
      <c r="N9" s="83" t="s">
        <v>529</v>
      </c>
      <c r="O9" s="83" t="s">
        <v>530</v>
      </c>
      <c r="P9" s="83" t="s">
        <v>531</v>
      </c>
      <c r="Q9" s="175">
        <v>45458.875</v>
      </c>
      <c r="R9" s="83"/>
      <c r="S9" s="83"/>
      <c r="T9" s="83"/>
      <c r="U9" s="83"/>
    </row>
    <row r="10" spans="1:21" x14ac:dyDescent="0.2">
      <c r="A10" s="173" t="s">
        <v>40</v>
      </c>
      <c r="B10" s="173" t="s">
        <v>706</v>
      </c>
      <c r="C10" s="173" t="s">
        <v>510</v>
      </c>
      <c r="D10" s="174">
        <v>37</v>
      </c>
      <c r="F10" t="str">
        <f>Spielplan!P37&amp;":"&amp;Spielplan!R37</f>
        <v>:</v>
      </c>
      <c r="G10" t="s">
        <v>547</v>
      </c>
      <c r="H10" t="s">
        <v>541</v>
      </c>
      <c r="I10" t="str">
        <f t="shared" si="0"/>
        <v>Spielplan!P37&amp;":"&amp;Spielplan!R37</v>
      </c>
      <c r="J10" t="str">
        <f t="shared" si="1"/>
        <v/>
      </c>
      <c r="M10" s="83" t="s">
        <v>307</v>
      </c>
      <c r="N10" s="83" t="s">
        <v>529</v>
      </c>
      <c r="O10" s="83" t="s">
        <v>530</v>
      </c>
      <c r="P10" s="83" t="s">
        <v>531</v>
      </c>
      <c r="Q10" s="172" t="s">
        <v>40</v>
      </c>
      <c r="R10" s="173" t="s">
        <v>706</v>
      </c>
      <c r="S10" s="173" t="s">
        <v>510</v>
      </c>
      <c r="T10" s="83">
        <v>37</v>
      </c>
      <c r="U10" s="83"/>
    </row>
    <row r="11" spans="1:21" x14ac:dyDescent="0.2">
      <c r="A11" s="176">
        <v>45459.625</v>
      </c>
      <c r="B11" s="173"/>
      <c r="C11" s="173"/>
      <c r="D11" s="174"/>
      <c r="F11" t="str">
        <f>"("&amp;Spielplan!T37&amp;")"</f>
        <v>(0)</v>
      </c>
      <c r="G11" t="s">
        <v>541</v>
      </c>
      <c r="H11" t="s">
        <v>548</v>
      </c>
      <c r="I11" t="str">
        <f>IF(OR(A10="A",A10="D",A10="AF",A10="VF",A10="HF",A10="FF"),"""(""&amp;Spielplan!"&amp;$P$2&amp;D10&amp;"&amp;"")""",IF(OR(A10="B",A10="E"),"""(""&amp;Spielplan!"&amp;$P$4&amp;D10&amp;"&amp;"")""",IF(OR(A10="C",A10="F"),"""(""&amp;Spielplan!"&amp;$P$6&amp;D10&amp;"&amp;"")""","")))</f>
        <v>"("&amp;Spielplan!T37&amp;")"</v>
      </c>
      <c r="M11" s="83" t="s">
        <v>539</v>
      </c>
      <c r="N11" s="83" t="s">
        <v>529</v>
      </c>
      <c r="O11" s="83" t="s">
        <v>530</v>
      </c>
      <c r="P11" s="83" t="s">
        <v>531</v>
      </c>
      <c r="Q11" s="172">
        <v>45459.625</v>
      </c>
      <c r="R11" s="173"/>
      <c r="S11" s="173"/>
      <c r="T11" s="83"/>
      <c r="U11" s="83"/>
    </row>
    <row r="12" spans="1:21" x14ac:dyDescent="0.2">
      <c r="A12" s="173" t="s">
        <v>39</v>
      </c>
      <c r="B12" s="83" t="s">
        <v>658</v>
      </c>
      <c r="C12" s="83" t="s">
        <v>509</v>
      </c>
      <c r="D12">
        <v>9</v>
      </c>
      <c r="F12" t="str">
        <f>Spielplan!BD9&amp;":"&amp;Spielplan!BF9</f>
        <v>:</v>
      </c>
      <c r="G12" t="s">
        <v>549</v>
      </c>
      <c r="H12" t="s">
        <v>541</v>
      </c>
      <c r="I12" t="str">
        <f t="shared" si="0"/>
        <v>Spielplan!BD9&amp;":"&amp;Spielplan!BF9</v>
      </c>
      <c r="J12" t="str">
        <f t="shared" si="1"/>
        <v/>
      </c>
      <c r="Q12" s="175" t="s">
        <v>39</v>
      </c>
      <c r="R12" s="83" t="s">
        <v>658</v>
      </c>
      <c r="S12" s="83" t="s">
        <v>509</v>
      </c>
      <c r="T12" s="83">
        <v>9</v>
      </c>
      <c r="U12" s="83"/>
    </row>
    <row r="13" spans="1:21" x14ac:dyDescent="0.2">
      <c r="A13" s="176">
        <v>45459.75</v>
      </c>
      <c r="B13" s="83"/>
      <c r="C13" s="83"/>
      <c r="F13" t="str">
        <f>"("&amp;Spielplan!BH9&amp;")"</f>
        <v>(0)</v>
      </c>
      <c r="G13" t="s">
        <v>541</v>
      </c>
      <c r="H13" t="s">
        <v>639</v>
      </c>
      <c r="I13" t="str">
        <f>IF(OR(A12="A",A12="D",A12="AF",A12="VF",A12="HF",A12="FF"),"""(""&amp;Spielplan!"&amp;$P$2&amp;D12&amp;"&amp;"")""",IF(OR(A12="B",A12="E"),"""(""&amp;Spielplan!"&amp;$P$4&amp;D12&amp;"&amp;"")""",IF(OR(A12="C",A12="F"),"""(""&amp;Spielplan!"&amp;$P$6&amp;D12&amp;"&amp;"")""","")))</f>
        <v>"("&amp;Spielplan!BH9&amp;")"</v>
      </c>
      <c r="Q13" s="175">
        <v>45459.75</v>
      </c>
      <c r="R13" s="83"/>
      <c r="S13" s="83"/>
      <c r="T13" s="83"/>
      <c r="U13" s="83"/>
    </row>
    <row r="14" spans="1:21" x14ac:dyDescent="0.2">
      <c r="A14" s="173" t="s">
        <v>39</v>
      </c>
      <c r="B14" s="173" t="s">
        <v>659</v>
      </c>
      <c r="C14" s="173" t="s">
        <v>11</v>
      </c>
      <c r="D14" s="174">
        <v>11</v>
      </c>
      <c r="F14" t="str">
        <f>Spielplan!BD11&amp;":"&amp;Spielplan!BF11</f>
        <v>:</v>
      </c>
      <c r="G14" t="s">
        <v>551</v>
      </c>
      <c r="H14" t="s">
        <v>541</v>
      </c>
      <c r="I14" t="str">
        <f t="shared" si="0"/>
        <v>Spielplan!BD11&amp;":"&amp;Spielplan!BF11</v>
      </c>
      <c r="J14" t="str">
        <f t="shared" si="1"/>
        <v/>
      </c>
      <c r="Q14" s="172" t="s">
        <v>39</v>
      </c>
      <c r="R14" s="173" t="s">
        <v>659</v>
      </c>
      <c r="S14" s="173" t="s">
        <v>11</v>
      </c>
      <c r="T14" s="83">
        <v>11</v>
      </c>
      <c r="U14" s="83"/>
    </row>
    <row r="15" spans="1:21" x14ac:dyDescent="0.2">
      <c r="A15" s="176">
        <v>45459.875</v>
      </c>
      <c r="B15" s="173"/>
      <c r="C15" s="173"/>
      <c r="D15" s="174"/>
      <c r="F15" t="str">
        <f>"("&amp;Spielplan!BH11&amp;")"</f>
        <v>(0)</v>
      </c>
      <c r="G15" t="s">
        <v>541</v>
      </c>
      <c r="H15" t="s">
        <v>640</v>
      </c>
      <c r="I15" t="str">
        <f>IF(OR(A14="A",A14="D",A14="AF",A14="VF",A14="HF",A14="FF"),"""(""&amp;Spielplan!"&amp;$P$2&amp;D14&amp;"&amp;"")""",IF(OR(A14="B",A14="E"),"""(""&amp;Spielplan!"&amp;$P$4&amp;D14&amp;"&amp;"")""",IF(OR(A14="C",A14="F"),"""(""&amp;Spielplan!"&amp;$P$6&amp;D14&amp;"&amp;"")""","")))</f>
        <v>"("&amp;Spielplan!BH11&amp;")"</v>
      </c>
      <c r="Q15" s="172">
        <v>45459.875</v>
      </c>
      <c r="R15" s="173"/>
      <c r="S15" s="173"/>
      <c r="T15" s="83"/>
      <c r="U15" s="83"/>
    </row>
    <row r="16" spans="1:21" x14ac:dyDescent="0.2">
      <c r="A16" s="173" t="s">
        <v>40</v>
      </c>
      <c r="B16" s="83" t="s">
        <v>184</v>
      </c>
      <c r="C16" s="83" t="s">
        <v>10</v>
      </c>
      <c r="D16">
        <v>39</v>
      </c>
      <c r="F16" t="str">
        <f>Spielplan!P39&amp;":"&amp;Spielplan!R39</f>
        <v>:</v>
      </c>
      <c r="G16" t="s">
        <v>553</v>
      </c>
      <c r="H16" t="s">
        <v>541</v>
      </c>
      <c r="I16" t="str">
        <f t="shared" si="0"/>
        <v>Spielplan!P39&amp;":"&amp;Spielplan!R39</v>
      </c>
      <c r="J16" t="str">
        <f t="shared" si="1"/>
        <v/>
      </c>
      <c r="M16" s="118" t="s">
        <v>537</v>
      </c>
      <c r="Q16" s="175" t="s">
        <v>40</v>
      </c>
      <c r="R16" s="83" t="s">
        <v>184</v>
      </c>
      <c r="S16" s="83" t="s">
        <v>10</v>
      </c>
      <c r="T16" s="83">
        <v>39</v>
      </c>
      <c r="U16" s="83"/>
    </row>
    <row r="17" spans="1:21" x14ac:dyDescent="0.2">
      <c r="A17" s="176">
        <v>45460.875</v>
      </c>
      <c r="B17" s="83"/>
      <c r="C17" s="83"/>
      <c r="F17" t="str">
        <f>"("&amp;Spielplan!T39&amp;")"</f>
        <v>(0)</v>
      </c>
      <c r="G17" t="s">
        <v>541</v>
      </c>
      <c r="H17" t="s">
        <v>554</v>
      </c>
      <c r="I17" t="str">
        <f>IF(OR(A16="A",A16="D",A16="AF",A16="VF",A16="HF",A16="FF"),"""(""&amp;Spielplan!"&amp;$P$2&amp;D16&amp;"&amp;"")""",IF(OR(A16="B",A16="E"),"""(""&amp;Spielplan!"&amp;$P$4&amp;D16&amp;"&amp;"")""",IF(OR(A16="C",A16="F"),"""(""&amp;Spielplan!"&amp;$P$6&amp;D16&amp;"&amp;"")""","")))</f>
        <v>"("&amp;Spielplan!T39&amp;")"</v>
      </c>
      <c r="M17" s="118" t="s">
        <v>538</v>
      </c>
      <c r="Q17" s="175">
        <v>45460.875</v>
      </c>
      <c r="R17" s="83"/>
      <c r="S17" s="83"/>
      <c r="T17" s="83"/>
      <c r="U17" s="83"/>
    </row>
    <row r="18" spans="1:21" x14ac:dyDescent="0.2">
      <c r="A18" s="173" t="s">
        <v>198</v>
      </c>
      <c r="B18" s="173" t="s">
        <v>672</v>
      </c>
      <c r="C18" s="173" t="s">
        <v>707</v>
      </c>
      <c r="D18" s="174">
        <v>37</v>
      </c>
      <c r="F18" t="str">
        <f>Spielplan!AJ37&amp;":"&amp;Spielplan!AL37</f>
        <v>:</v>
      </c>
      <c r="G18" t="s">
        <v>628</v>
      </c>
      <c r="H18" t="s">
        <v>541</v>
      </c>
      <c r="I18" t="str">
        <f t="shared" si="0"/>
        <v>Spielplan!AJ37&amp;":"&amp;Spielplan!AL37</v>
      </c>
      <c r="J18" t="str">
        <f t="shared" si="1"/>
        <v/>
      </c>
      <c r="Q18" s="172" t="s">
        <v>198</v>
      </c>
      <c r="R18" s="173" t="s">
        <v>672</v>
      </c>
      <c r="S18" s="173" t="s">
        <v>707</v>
      </c>
      <c r="T18" s="83">
        <v>37</v>
      </c>
      <c r="U18" s="83"/>
    </row>
    <row r="19" spans="1:21" x14ac:dyDescent="0.2">
      <c r="A19" s="176">
        <v>45460.625</v>
      </c>
      <c r="B19" s="173"/>
      <c r="C19" s="173"/>
      <c r="D19" s="174"/>
      <c r="F19" t="str">
        <f>"("&amp;Spielplan!AN37&amp;")"</f>
        <v>(0)</v>
      </c>
      <c r="G19" t="s">
        <v>541</v>
      </c>
      <c r="H19" t="s">
        <v>546</v>
      </c>
      <c r="I19" t="str">
        <f>IF(OR(A18="A",A18="D",A18="AF",A18="VF",A18="HF",A18="FF"),"""(""&amp;Spielplan!"&amp;$P$2&amp;D18&amp;"&amp;"")""",IF(OR(A18="B",A18="E"),"""(""&amp;Spielplan!"&amp;$P$4&amp;D18&amp;"&amp;"")""",IF(OR(A18="C",A18="F"),"""(""&amp;Spielplan!"&amp;$P$6&amp;D18&amp;"&amp;"")""","")))</f>
        <v>"("&amp;Spielplan!AN37&amp;")"</v>
      </c>
      <c r="Q19" s="172">
        <v>45460.625</v>
      </c>
      <c r="R19" s="173"/>
      <c r="S19" s="173"/>
      <c r="T19" s="83"/>
      <c r="U19" s="83"/>
    </row>
    <row r="20" spans="1:21" x14ac:dyDescent="0.2">
      <c r="A20" s="173" t="s">
        <v>198</v>
      </c>
      <c r="B20" s="83" t="s">
        <v>183</v>
      </c>
      <c r="C20" s="83" t="s">
        <v>181</v>
      </c>
      <c r="D20">
        <v>39</v>
      </c>
      <c r="F20" t="str">
        <f>Spielplan!AJ39&amp;":"&amp;Spielplan!AL39</f>
        <v>:</v>
      </c>
      <c r="G20" t="s">
        <v>629</v>
      </c>
      <c r="H20" t="s">
        <v>541</v>
      </c>
      <c r="I20" t="str">
        <f t="shared" si="0"/>
        <v>Spielplan!AJ39&amp;":"&amp;Spielplan!AL39</v>
      </c>
      <c r="J20" t="str">
        <f t="shared" si="1"/>
        <v/>
      </c>
      <c r="Q20" s="175" t="s">
        <v>198</v>
      </c>
      <c r="R20" s="83" t="s">
        <v>183</v>
      </c>
      <c r="S20" s="83" t="s">
        <v>181</v>
      </c>
      <c r="T20" s="83">
        <v>39</v>
      </c>
      <c r="U20" s="83"/>
    </row>
    <row r="21" spans="1:21" x14ac:dyDescent="0.2">
      <c r="A21" s="176">
        <v>45460.75</v>
      </c>
      <c r="B21" s="83"/>
      <c r="C21" s="83"/>
      <c r="F21" t="str">
        <f>"("&amp;Spielplan!AN39&amp;")"</f>
        <v>(0)</v>
      </c>
      <c r="G21" t="s">
        <v>541</v>
      </c>
      <c r="H21" t="s">
        <v>555</v>
      </c>
      <c r="I21" t="str">
        <f>IF(OR(A20="A",A20="D",A20="AF",A20="VF",A20="HF",A20="FF"),"""(""&amp;Spielplan!"&amp;$P$2&amp;D20&amp;"&amp;"")""",IF(OR(A20="B",A20="E"),"""(""&amp;Spielplan!"&amp;$P$4&amp;D20&amp;"&amp;"")""",IF(OR(A20="C",A20="F"),"""(""&amp;Spielplan!"&amp;$P$6&amp;D20&amp;"&amp;"")""","")))</f>
        <v>"("&amp;Spielplan!AN39&amp;")"</v>
      </c>
      <c r="Q21" s="175">
        <v>45460.75</v>
      </c>
      <c r="R21" s="83"/>
      <c r="S21" s="83"/>
      <c r="T21" s="83"/>
      <c r="U21" s="83"/>
    </row>
    <row r="22" spans="1:21" x14ac:dyDescent="0.2">
      <c r="A22" s="173" t="s">
        <v>98</v>
      </c>
      <c r="B22" s="173" t="s">
        <v>182</v>
      </c>
      <c r="C22" s="173" t="s">
        <v>708</v>
      </c>
      <c r="D22" s="174">
        <v>37</v>
      </c>
      <c r="F22" t="str">
        <f>Spielplan!BD37&amp;":"&amp;Spielplan!BF37</f>
        <v>:</v>
      </c>
      <c r="G22" t="s">
        <v>556</v>
      </c>
      <c r="H22" t="s">
        <v>541</v>
      </c>
      <c r="I22" t="str">
        <f t="shared" si="0"/>
        <v>Spielplan!BD37&amp;":"&amp;Spielplan!BF37</v>
      </c>
      <c r="J22" t="str">
        <f t="shared" si="1"/>
        <v/>
      </c>
      <c r="Q22" s="172" t="s">
        <v>98</v>
      </c>
      <c r="R22" s="173" t="s">
        <v>182</v>
      </c>
      <c r="S22" s="173" t="s">
        <v>708</v>
      </c>
      <c r="T22" s="83">
        <v>37</v>
      </c>
      <c r="U22" s="83"/>
    </row>
    <row r="23" spans="1:21" x14ac:dyDescent="0.2">
      <c r="A23" s="176">
        <v>45461.75</v>
      </c>
      <c r="B23" s="173"/>
      <c r="C23" s="173"/>
      <c r="D23" s="174"/>
      <c r="F23" t="str">
        <f>"("&amp;Spielplan!BH37&amp;")"</f>
        <v>(0)</v>
      </c>
      <c r="G23" t="s">
        <v>541</v>
      </c>
      <c r="H23" t="s">
        <v>552</v>
      </c>
      <c r="I23" t="str">
        <f>IF(OR(A22="A",A22="D",A22="AF",A22="VF",A22="HF",A22="FF"),"""(""&amp;Spielplan!"&amp;$P$2&amp;D22&amp;"&amp;"")""",IF(OR(A22="B",A22="E"),"""(""&amp;Spielplan!"&amp;$P$4&amp;D22&amp;"&amp;"")""",IF(OR(A22="C",A22="F"),"""(""&amp;Spielplan!"&amp;$P$6&amp;D22&amp;"&amp;"")""","")))</f>
        <v>"("&amp;Spielplan!BH37&amp;")"</v>
      </c>
      <c r="Q23" s="172">
        <v>45461.75</v>
      </c>
      <c r="R23" s="173"/>
      <c r="S23" s="173"/>
      <c r="T23" s="83"/>
      <c r="U23" s="83"/>
    </row>
    <row r="24" spans="1:21" x14ac:dyDescent="0.2">
      <c r="A24" s="173" t="s">
        <v>98</v>
      </c>
      <c r="B24" s="83" t="s">
        <v>5</v>
      </c>
      <c r="C24" s="83" t="s">
        <v>8</v>
      </c>
      <c r="D24">
        <v>39</v>
      </c>
      <c r="F24" t="str">
        <f>Spielplan!BD39&amp;":"&amp;Spielplan!BF39</f>
        <v>:</v>
      </c>
      <c r="G24" t="s">
        <v>558</v>
      </c>
      <c r="H24" t="s">
        <v>541</v>
      </c>
      <c r="I24" t="str">
        <f t="shared" si="0"/>
        <v>Spielplan!BD39&amp;":"&amp;Spielplan!BF39</v>
      </c>
      <c r="J24" t="str">
        <f t="shared" si="1"/>
        <v/>
      </c>
      <c r="Q24" s="175" t="s">
        <v>98</v>
      </c>
      <c r="R24" s="83" t="s">
        <v>5</v>
      </c>
      <c r="S24" s="83" t="s">
        <v>8</v>
      </c>
      <c r="T24" s="83">
        <v>39</v>
      </c>
      <c r="U24" s="83"/>
    </row>
    <row r="25" spans="1:21" x14ac:dyDescent="0.2">
      <c r="A25" s="176">
        <v>45461.875</v>
      </c>
      <c r="B25" s="83"/>
      <c r="C25" s="83"/>
      <c r="F25" t="str">
        <f>"("&amp;Spielplan!BH39&amp;")"</f>
        <v>(0)</v>
      </c>
      <c r="G25" t="s">
        <v>541</v>
      </c>
      <c r="H25" t="s">
        <v>550</v>
      </c>
      <c r="I25" t="str">
        <f>IF(OR(A24="A",A24="D",A24="AF",A24="VF",A24="HF",A24="FF"),"""(""&amp;Spielplan!"&amp;$P$2&amp;D24&amp;"&amp;"")""",IF(OR(A24="B",A24="E"),"""(""&amp;Spielplan!"&amp;$P$4&amp;D24&amp;"&amp;"")""",IF(OR(A24="C",A24="F"),"""(""&amp;Spielplan!"&amp;$P$6&amp;D24&amp;"&amp;"")""","")))</f>
        <v>"("&amp;Spielplan!BH39&amp;")"</v>
      </c>
      <c r="Q25" s="175">
        <v>45461.875</v>
      </c>
      <c r="R25" s="83"/>
      <c r="S25" s="83"/>
      <c r="T25" s="83"/>
      <c r="U25" s="83"/>
    </row>
    <row r="26" spans="1:21" x14ac:dyDescent="0.2">
      <c r="A26" s="173" t="s">
        <v>38</v>
      </c>
      <c r="B26" s="173" t="s">
        <v>9</v>
      </c>
      <c r="C26" s="173" t="s">
        <v>651</v>
      </c>
      <c r="D26" s="174">
        <v>13</v>
      </c>
      <c r="F26" t="str">
        <f>Spielplan!AJ13&amp;":"&amp;Spielplan!AL13</f>
        <v>:</v>
      </c>
      <c r="G26" t="s">
        <v>630</v>
      </c>
      <c r="H26" t="s">
        <v>541</v>
      </c>
      <c r="I26" t="str">
        <f t="shared" si="0"/>
        <v>Spielplan!AJ13&amp;":"&amp;Spielplan!AL13</v>
      </c>
      <c r="J26" t="str">
        <f t="shared" si="1"/>
        <v/>
      </c>
      <c r="Q26" s="172" t="s">
        <v>38</v>
      </c>
      <c r="R26" s="173" t="s">
        <v>9</v>
      </c>
      <c r="S26" s="173" t="s">
        <v>651</v>
      </c>
      <c r="T26" s="83">
        <v>13</v>
      </c>
      <c r="U26" s="83"/>
    </row>
    <row r="27" spans="1:21" x14ac:dyDescent="0.2">
      <c r="A27" s="176">
        <v>45462.625</v>
      </c>
      <c r="B27" s="173"/>
      <c r="C27" s="173"/>
      <c r="D27" s="174"/>
      <c r="F27" t="str">
        <f>"("&amp;Spielplan!AN13&amp;")"</f>
        <v>(0)</v>
      </c>
      <c r="G27" t="s">
        <v>541</v>
      </c>
      <c r="H27" t="s">
        <v>559</v>
      </c>
      <c r="I27" t="str">
        <f>IF(OR(A26="A",A26="D",A26="AF",A26="VF",A26="HF",A26="FF"),"""(""&amp;Spielplan!"&amp;$P$2&amp;D26&amp;"&amp;"")""",IF(OR(A26="B",A26="E"),"""(""&amp;Spielplan!"&amp;$P$4&amp;D26&amp;"&amp;"")""",IF(OR(A26="C",A26="F"),"""(""&amp;Spielplan!"&amp;$P$6&amp;D26&amp;"&amp;"")""","")))</f>
        <v>"("&amp;Spielplan!AN13&amp;")"</v>
      </c>
      <c r="Q27" s="172">
        <v>45462.625</v>
      </c>
      <c r="R27" s="173"/>
      <c r="S27" s="173"/>
      <c r="T27" s="83"/>
      <c r="U27" s="83"/>
    </row>
    <row r="28" spans="1:21" x14ac:dyDescent="0.2">
      <c r="A28" s="173" t="s">
        <v>37</v>
      </c>
      <c r="B28" s="83" t="s">
        <v>4</v>
      </c>
      <c r="C28" s="83" t="s">
        <v>185</v>
      </c>
      <c r="D28">
        <v>13</v>
      </c>
      <c r="F28" t="str">
        <f>Spielplan!P13&amp;":"&amp;Spielplan!R13</f>
        <v>:</v>
      </c>
      <c r="G28" t="s">
        <v>560</v>
      </c>
      <c r="H28" t="s">
        <v>541</v>
      </c>
      <c r="I28" t="str">
        <f t="shared" si="0"/>
        <v>Spielplan!P13&amp;":"&amp;Spielplan!R13</v>
      </c>
      <c r="J28" t="str">
        <f t="shared" si="1"/>
        <v/>
      </c>
      <c r="Q28" s="175" t="s">
        <v>37</v>
      </c>
      <c r="R28" s="83" t="s">
        <v>4</v>
      </c>
      <c r="S28" s="83" t="s">
        <v>185</v>
      </c>
      <c r="T28" s="83">
        <v>13</v>
      </c>
      <c r="U28" s="83"/>
    </row>
    <row r="29" spans="1:21" x14ac:dyDescent="0.2">
      <c r="A29" s="176">
        <v>45462.75</v>
      </c>
      <c r="B29" s="83"/>
      <c r="C29" s="83"/>
      <c r="F29" t="str">
        <f>"("&amp;Spielplan!T13&amp;")"</f>
        <v>(0)</v>
      </c>
      <c r="G29" t="s">
        <v>541</v>
      </c>
      <c r="H29" t="s">
        <v>561</v>
      </c>
      <c r="I29" t="str">
        <f>IF(OR(A28="A",A28="D",A28="AF",A28="VF",A28="HF",A28="FF"),"""(""&amp;Spielplan!"&amp;$P$2&amp;D28&amp;"&amp;"")""",IF(OR(A28="B",A28="E"),"""(""&amp;Spielplan!"&amp;$P$4&amp;D28&amp;"&amp;"")""",IF(OR(A28="C",A28="F"),"""(""&amp;Spielplan!"&amp;$P$6&amp;D28&amp;"&amp;"")""","")))</f>
        <v>"("&amp;Spielplan!T13&amp;")"</v>
      </c>
      <c r="Q29" s="175">
        <v>45462.75</v>
      </c>
      <c r="R29" s="83"/>
      <c r="S29" s="83"/>
      <c r="T29" s="83"/>
      <c r="U29" s="83"/>
    </row>
    <row r="30" spans="1:21" x14ac:dyDescent="0.2">
      <c r="A30" s="173" t="s">
        <v>37</v>
      </c>
      <c r="B30" s="173" t="s">
        <v>511</v>
      </c>
      <c r="C30" s="173" t="s">
        <v>180</v>
      </c>
      <c r="D30" s="174">
        <v>15</v>
      </c>
      <c r="F30" t="str">
        <f>Spielplan!P15&amp;":"&amp;Spielplan!R15</f>
        <v>:</v>
      </c>
      <c r="G30" t="s">
        <v>562</v>
      </c>
      <c r="H30" t="s">
        <v>541</v>
      </c>
      <c r="I30" t="str">
        <f t="shared" si="0"/>
        <v>Spielplan!P15&amp;":"&amp;Spielplan!R15</v>
      </c>
      <c r="J30" t="str">
        <f t="shared" si="1"/>
        <v/>
      </c>
      <c r="Q30" s="172" t="s">
        <v>37</v>
      </c>
      <c r="R30" s="173" t="s">
        <v>511</v>
      </c>
      <c r="S30" s="173" t="s">
        <v>180</v>
      </c>
      <c r="T30" s="83">
        <v>15</v>
      </c>
      <c r="U30" s="83"/>
    </row>
    <row r="31" spans="1:21" x14ac:dyDescent="0.2">
      <c r="A31" s="176">
        <v>45462.875</v>
      </c>
      <c r="B31" s="173"/>
      <c r="C31" s="173"/>
      <c r="D31" s="174"/>
      <c r="F31" t="str">
        <f>"("&amp;Spielplan!T15&amp;")"</f>
        <v>(0)</v>
      </c>
      <c r="G31" t="s">
        <v>541</v>
      </c>
      <c r="H31" t="s">
        <v>563</v>
      </c>
      <c r="I31" t="str">
        <f>IF(OR(A30="A",A30="D",A30="AF",A30="VF",A30="HF",A30="FF"),"""(""&amp;Spielplan!"&amp;$P$2&amp;D30&amp;"&amp;"")""",IF(OR(A30="B",A30="E"),"""(""&amp;Spielplan!"&amp;$P$4&amp;D30&amp;"&amp;"")""",IF(OR(A30="C",A30="F"),"""(""&amp;Spielplan!"&amp;$P$6&amp;D30&amp;"&amp;"")""","")))</f>
        <v>"("&amp;Spielplan!T15&amp;")"</v>
      </c>
      <c r="Q31" s="172">
        <v>45462.875</v>
      </c>
      <c r="R31" s="173"/>
      <c r="S31" s="173"/>
      <c r="T31" s="83"/>
      <c r="U31" s="83"/>
    </row>
    <row r="32" spans="1:21" x14ac:dyDescent="0.2">
      <c r="A32" s="173" t="s">
        <v>39</v>
      </c>
      <c r="B32" s="83" t="s">
        <v>658</v>
      </c>
      <c r="C32" s="83" t="s">
        <v>659</v>
      </c>
      <c r="D32">
        <v>13</v>
      </c>
      <c r="F32" t="str">
        <f>Spielplan!BD13&amp;":"&amp;Spielplan!BF13</f>
        <v>:</v>
      </c>
      <c r="G32" t="s">
        <v>564</v>
      </c>
      <c r="H32" t="s">
        <v>541</v>
      </c>
      <c r="I32" t="str">
        <f t="shared" si="0"/>
        <v>Spielplan!BD13&amp;":"&amp;Spielplan!BF13</v>
      </c>
      <c r="J32" t="str">
        <f t="shared" si="1"/>
        <v/>
      </c>
      <c r="Q32" s="175" t="s">
        <v>39</v>
      </c>
      <c r="R32" s="83" t="s">
        <v>658</v>
      </c>
      <c r="S32" s="83" t="s">
        <v>659</v>
      </c>
      <c r="T32" s="83">
        <v>13</v>
      </c>
      <c r="U32" s="83"/>
    </row>
    <row r="33" spans="1:21" x14ac:dyDescent="0.2">
      <c r="A33" s="176">
        <v>45463.625</v>
      </c>
      <c r="B33" s="83"/>
      <c r="C33" s="83"/>
      <c r="F33" t="str">
        <f>"("&amp;Spielplan!BH13&amp;")"</f>
        <v>(0)</v>
      </c>
      <c r="G33" t="s">
        <v>541</v>
      </c>
      <c r="H33" t="s">
        <v>557</v>
      </c>
      <c r="I33" t="str">
        <f>IF(OR(A32="A",A32="D",A32="AF",A32="VF",A32="HF",A32="FF"),"""(""&amp;Spielplan!"&amp;$P$2&amp;D32&amp;"&amp;"")""",IF(OR(A32="B",A32="E"),"""(""&amp;Spielplan!"&amp;$P$4&amp;D32&amp;"&amp;"")""",IF(OR(A32="C",A32="F"),"""(""&amp;Spielplan!"&amp;$P$6&amp;D32&amp;"&amp;"")""","")))</f>
        <v>"("&amp;Spielplan!BH13&amp;")"</v>
      </c>
      <c r="Q33" s="175">
        <v>45463.625</v>
      </c>
      <c r="R33" s="83"/>
      <c r="S33" s="83"/>
      <c r="T33" s="83"/>
      <c r="U33" s="83"/>
    </row>
    <row r="34" spans="1:21" x14ac:dyDescent="0.2">
      <c r="A34" s="173" t="s">
        <v>38</v>
      </c>
      <c r="B34" s="173" t="s">
        <v>6</v>
      </c>
      <c r="C34" s="173" t="s">
        <v>7</v>
      </c>
      <c r="D34" s="174">
        <v>15</v>
      </c>
      <c r="F34" t="str">
        <f>Spielplan!AJ15&amp;":"&amp;Spielplan!AL15</f>
        <v>:</v>
      </c>
      <c r="G34" t="s">
        <v>631</v>
      </c>
      <c r="H34" t="s">
        <v>541</v>
      </c>
      <c r="I34" t="str">
        <f t="shared" ref="I34:I64" si="2">IF(OR(A34="A",A34="D",A34="AF",A34="VF",A34="HF",A34="FF"),"Spielplan!"&amp;$N$2&amp;D34&amp;"&amp;"":""&amp;Spielplan!"&amp;$O$2&amp;D34,IF(OR(A34="B",A34="E"),"Spielplan!"&amp;$N$4&amp;D34&amp;"&amp;"":""&amp;Spielplan!"&amp;$O$4&amp;D34,IF(OR(A34="C",A34="F"),"Spielplan!"&amp;$N$6&amp;D34&amp;"&amp;"":""&amp;Spielplan!"&amp;$O$6&amp;D34,"")))</f>
        <v>Spielplan!AJ15&amp;":"&amp;Spielplan!AL15</v>
      </c>
      <c r="J34" t="str">
        <f t="shared" si="1"/>
        <v/>
      </c>
      <c r="Q34" s="172" t="s">
        <v>38</v>
      </c>
      <c r="R34" s="173" t="s">
        <v>6</v>
      </c>
      <c r="S34" s="173" t="s">
        <v>7</v>
      </c>
      <c r="T34" s="83">
        <v>15</v>
      </c>
      <c r="U34" s="83"/>
    </row>
    <row r="35" spans="1:21" x14ac:dyDescent="0.2">
      <c r="A35" s="176">
        <v>45463.875</v>
      </c>
      <c r="B35" s="173"/>
      <c r="C35" s="173"/>
      <c r="D35" s="174"/>
      <c r="F35" t="str">
        <f>"("&amp;Spielplan!AN15&amp;")"</f>
        <v>(0)</v>
      </c>
      <c r="G35" t="s">
        <v>541</v>
      </c>
      <c r="H35" t="s">
        <v>566</v>
      </c>
      <c r="I35" t="str">
        <f>IF(OR(A34="A",A34="D",A34="AF",A34="VF",A34="HF",A34="FF"),"""(""&amp;Spielplan!"&amp;$P$2&amp;D34&amp;"&amp;"")""",IF(OR(A34="B",A34="E"),"""(""&amp;Spielplan!"&amp;$P$4&amp;D34&amp;"&amp;"")""",IF(OR(A34="C",A34="F"),"""(""&amp;Spielplan!"&amp;$P$6&amp;D34&amp;"&amp;"")""","")))</f>
        <v>"("&amp;Spielplan!AN15&amp;")"</v>
      </c>
      <c r="Q35" s="172">
        <v>45463.875</v>
      </c>
      <c r="R35" s="173"/>
      <c r="S35" s="173"/>
      <c r="T35" s="83"/>
      <c r="U35" s="83"/>
    </row>
    <row r="36" spans="1:21" x14ac:dyDescent="0.2">
      <c r="A36" s="173" t="s">
        <v>39</v>
      </c>
      <c r="B36" s="83" t="s">
        <v>509</v>
      </c>
      <c r="C36" s="83" t="s">
        <v>11</v>
      </c>
      <c r="D36">
        <v>15</v>
      </c>
      <c r="F36" t="str">
        <f>Spielplan!BD15&amp;":"&amp;Spielplan!BF15</f>
        <v>:</v>
      </c>
      <c r="G36" t="s">
        <v>567</v>
      </c>
      <c r="H36" t="s">
        <v>541</v>
      </c>
      <c r="I36" t="str">
        <f t="shared" si="2"/>
        <v>Spielplan!BD15&amp;":"&amp;Spielplan!BF15</v>
      </c>
      <c r="J36" t="str">
        <f t="shared" si="1"/>
        <v/>
      </c>
      <c r="Q36" s="175" t="s">
        <v>39</v>
      </c>
      <c r="R36" s="83" t="s">
        <v>509</v>
      </c>
      <c r="S36" s="83" t="s">
        <v>11</v>
      </c>
      <c r="T36" s="83">
        <v>15</v>
      </c>
      <c r="U36" s="83"/>
    </row>
    <row r="37" spans="1:21" x14ac:dyDescent="0.2">
      <c r="A37" s="176">
        <v>45463.75</v>
      </c>
      <c r="B37" s="83"/>
      <c r="C37" s="83"/>
      <c r="F37" t="str">
        <f>"("&amp;Spielplan!BH15&amp;")"</f>
        <v>(0)</v>
      </c>
      <c r="G37" t="s">
        <v>541</v>
      </c>
      <c r="H37" t="s">
        <v>565</v>
      </c>
      <c r="I37" t="str">
        <f>IF(OR(A36="A",A36="D",A36="AF",A36="VF",A36="HF",A36="FF"),"""(""&amp;Spielplan!"&amp;$P$2&amp;D36&amp;"&amp;"")""",IF(OR(A36="B",A36="E"),"""(""&amp;Spielplan!"&amp;$P$4&amp;D36&amp;"&amp;"")""",IF(OR(A36="C",A36="F"),"""(""&amp;Spielplan!"&amp;$P$6&amp;D36&amp;"&amp;"")""","")))</f>
        <v>"("&amp;Spielplan!BH15&amp;")"</v>
      </c>
      <c r="Q37" s="175">
        <v>45463.75</v>
      </c>
      <c r="R37" s="83"/>
      <c r="S37" s="83"/>
      <c r="T37" s="83"/>
      <c r="U37" s="83"/>
    </row>
    <row r="38" spans="1:21" x14ac:dyDescent="0.2">
      <c r="A38" s="173" t="s">
        <v>198</v>
      </c>
      <c r="B38" s="173" t="s">
        <v>181</v>
      </c>
      <c r="C38" s="173" t="s">
        <v>707</v>
      </c>
      <c r="D38" s="174">
        <v>41</v>
      </c>
      <c r="F38" t="str">
        <f>Spielplan!AJ41&amp;":"&amp;Spielplan!AL41</f>
        <v>:</v>
      </c>
      <c r="G38" t="s">
        <v>632</v>
      </c>
      <c r="H38" t="s">
        <v>541</v>
      </c>
      <c r="I38" t="str">
        <f t="shared" si="2"/>
        <v>Spielplan!AJ41&amp;":"&amp;Spielplan!AL41</v>
      </c>
      <c r="J38" t="str">
        <f t="shared" si="1"/>
        <v/>
      </c>
      <c r="Q38" s="172" t="s">
        <v>198</v>
      </c>
      <c r="R38" s="173" t="s">
        <v>181</v>
      </c>
      <c r="S38" s="173" t="s">
        <v>707</v>
      </c>
      <c r="T38" s="83">
        <v>41</v>
      </c>
      <c r="U38" s="83"/>
    </row>
    <row r="39" spans="1:21" x14ac:dyDescent="0.2">
      <c r="A39" s="176">
        <v>45464.625</v>
      </c>
      <c r="B39" s="173"/>
      <c r="C39" s="173"/>
      <c r="D39" s="174"/>
      <c r="F39" t="str">
        <f>"("&amp;Spielplan!AN41&amp;")"</f>
        <v>(0)</v>
      </c>
      <c r="G39" t="s">
        <v>541</v>
      </c>
      <c r="H39" t="s">
        <v>569</v>
      </c>
      <c r="I39" t="str">
        <f>IF(OR(A38="A",A38="D",A38="AF",A38="VF",A38="HF",A38="FF"),"""(""&amp;Spielplan!"&amp;$P$2&amp;D38&amp;"&amp;"")""",IF(OR(A38="B",A38="E"),"""(""&amp;Spielplan!"&amp;$P$4&amp;D38&amp;"&amp;"")""",IF(OR(A38="C",A38="F"),"""(""&amp;Spielplan!"&amp;$P$6&amp;D38&amp;"&amp;"")""","")))</f>
        <v>"("&amp;Spielplan!AN41&amp;")"</v>
      </c>
      <c r="Q39" s="172">
        <v>45464.625</v>
      </c>
      <c r="R39" s="173"/>
      <c r="S39" s="173"/>
      <c r="T39" s="83"/>
      <c r="U39" s="83"/>
    </row>
    <row r="40" spans="1:21" x14ac:dyDescent="0.2">
      <c r="A40" s="173" t="s">
        <v>40</v>
      </c>
      <c r="B40" s="83" t="s">
        <v>706</v>
      </c>
      <c r="C40" s="83" t="s">
        <v>184</v>
      </c>
      <c r="D40">
        <v>41</v>
      </c>
      <c r="F40" t="str">
        <f>Spielplan!P41&amp;":"&amp;Spielplan!R41</f>
        <v>:</v>
      </c>
      <c r="G40" t="s">
        <v>570</v>
      </c>
      <c r="H40" t="s">
        <v>541</v>
      </c>
      <c r="I40" t="str">
        <f t="shared" si="2"/>
        <v>Spielplan!P41&amp;":"&amp;Spielplan!R41</v>
      </c>
      <c r="J40" t="str">
        <f t="shared" si="1"/>
        <v/>
      </c>
      <c r="Q40" s="175" t="s">
        <v>40</v>
      </c>
      <c r="R40" s="83" t="s">
        <v>706</v>
      </c>
      <c r="S40" s="83" t="s">
        <v>184</v>
      </c>
      <c r="T40" s="83">
        <v>41</v>
      </c>
      <c r="U40" s="83"/>
    </row>
    <row r="41" spans="1:21" x14ac:dyDescent="0.2">
      <c r="A41" s="176">
        <v>45464.75</v>
      </c>
      <c r="B41" s="83"/>
      <c r="C41" s="83"/>
      <c r="F41" t="str">
        <f>"("&amp;Spielplan!T41&amp;")"</f>
        <v>(0)</v>
      </c>
      <c r="G41" t="s">
        <v>541</v>
      </c>
      <c r="H41" t="s">
        <v>571</v>
      </c>
      <c r="I41" t="str">
        <f>IF(OR(A40="A",A40="D",A40="AF",A40="VF",A40="HF",A40="FF"),"""(""&amp;Spielplan!"&amp;$P$2&amp;D40&amp;"&amp;"")""",IF(OR(A40="B",A40="E"),"""(""&amp;Spielplan!"&amp;$P$4&amp;D40&amp;"&amp;"")""",IF(OR(A40="C",A40="F"),"""(""&amp;Spielplan!"&amp;$P$6&amp;D40&amp;"&amp;"")""","")))</f>
        <v>"("&amp;Spielplan!T41&amp;")"</v>
      </c>
      <c r="Q41" s="175">
        <v>45464.75</v>
      </c>
      <c r="R41" s="83"/>
      <c r="S41" s="83"/>
      <c r="T41" s="83"/>
      <c r="U41" s="83"/>
    </row>
    <row r="42" spans="1:21" x14ac:dyDescent="0.2">
      <c r="A42" s="173" t="s">
        <v>40</v>
      </c>
      <c r="B42" s="173" t="s">
        <v>510</v>
      </c>
      <c r="C42" s="173" t="s">
        <v>10</v>
      </c>
      <c r="D42" s="174">
        <v>43</v>
      </c>
      <c r="F42" t="str">
        <f>Spielplan!P43&amp;":"&amp;Spielplan!R43</f>
        <v>:</v>
      </c>
      <c r="G42" t="s">
        <v>572</v>
      </c>
      <c r="H42" t="s">
        <v>541</v>
      </c>
      <c r="I42" t="str">
        <f t="shared" si="2"/>
        <v>Spielplan!P43&amp;":"&amp;Spielplan!R43</v>
      </c>
      <c r="J42" t="str">
        <f t="shared" si="1"/>
        <v/>
      </c>
      <c r="Q42" s="172" t="s">
        <v>40</v>
      </c>
      <c r="R42" s="173" t="s">
        <v>510</v>
      </c>
      <c r="S42" s="173" t="s">
        <v>10</v>
      </c>
      <c r="T42" s="83">
        <v>43</v>
      </c>
      <c r="U42" s="83"/>
    </row>
    <row r="43" spans="1:21" x14ac:dyDescent="0.2">
      <c r="A43" s="176">
        <v>45464.875</v>
      </c>
      <c r="B43" s="173"/>
      <c r="C43" s="173"/>
      <c r="D43" s="174"/>
      <c r="F43" t="str">
        <f>"("&amp;Spielplan!T43&amp;")"</f>
        <v>(0)</v>
      </c>
      <c r="G43" t="s">
        <v>541</v>
      </c>
      <c r="H43" t="s">
        <v>573</v>
      </c>
      <c r="I43" t="str">
        <f>IF(OR(A42="A",A42="D",A42="AF",A42="VF",A42="HF",A42="FF"),"""(""&amp;Spielplan!"&amp;$P$2&amp;D42&amp;"&amp;"")""",IF(OR(A42="B",A42="E"),"""(""&amp;Spielplan!"&amp;$P$4&amp;D42&amp;"&amp;"")""",IF(OR(A42="C",A42="F"),"""(""&amp;Spielplan!"&amp;$P$6&amp;D42&amp;"&amp;"")""","")))</f>
        <v>"("&amp;Spielplan!T43&amp;")"</v>
      </c>
      <c r="Q43" s="172">
        <v>45464.875</v>
      </c>
      <c r="R43" s="173"/>
      <c r="S43" s="173"/>
      <c r="T43" s="83"/>
      <c r="U43" s="83"/>
    </row>
    <row r="44" spans="1:21" x14ac:dyDescent="0.2">
      <c r="A44" s="173" t="s">
        <v>98</v>
      </c>
      <c r="B44" s="83" t="s">
        <v>708</v>
      </c>
      <c r="C44" s="83" t="s">
        <v>8</v>
      </c>
      <c r="D44">
        <v>41</v>
      </c>
      <c r="F44" t="str">
        <f>Spielplan!BD41&amp;":"&amp;Spielplan!BF41</f>
        <v>:</v>
      </c>
      <c r="G44" t="s">
        <v>574</v>
      </c>
      <c r="H44" t="s">
        <v>541</v>
      </c>
      <c r="I44" t="str">
        <f t="shared" si="2"/>
        <v>Spielplan!BD41&amp;":"&amp;Spielplan!BF41</v>
      </c>
      <c r="J44" t="str">
        <f t="shared" si="1"/>
        <v/>
      </c>
      <c r="Q44" s="175" t="s">
        <v>98</v>
      </c>
      <c r="R44" s="83" t="s">
        <v>708</v>
      </c>
      <c r="S44" s="83" t="s">
        <v>8</v>
      </c>
      <c r="T44" s="83">
        <v>41</v>
      </c>
      <c r="U44" s="83"/>
    </row>
    <row r="45" spans="1:21" x14ac:dyDescent="0.2">
      <c r="A45" s="176">
        <v>45465.625</v>
      </c>
      <c r="B45" s="83"/>
      <c r="C45" s="83"/>
      <c r="F45" t="str">
        <f>"("&amp;Spielplan!BH41&amp;")"</f>
        <v>(0)</v>
      </c>
      <c r="G45" t="s">
        <v>541</v>
      </c>
      <c r="H45" t="s">
        <v>568</v>
      </c>
      <c r="I45" t="str">
        <f>IF(OR(A44="A",A44="D",A44="AF",A44="VF",A44="HF",A44="FF"),"""(""&amp;Spielplan!"&amp;$P$2&amp;D44&amp;"&amp;"")""",IF(OR(A44="B",A44="E"),"""(""&amp;Spielplan!"&amp;$P$4&amp;D44&amp;"&amp;"")""",IF(OR(A44="C",A44="F"),"""(""&amp;Spielplan!"&amp;$P$6&amp;D44&amp;"&amp;"")""","")))</f>
        <v>"("&amp;Spielplan!BH41&amp;")"</v>
      </c>
      <c r="Q45" s="175">
        <v>45465.625</v>
      </c>
      <c r="R45" s="83"/>
      <c r="S45" s="83"/>
      <c r="T45" s="83"/>
      <c r="U45" s="83"/>
    </row>
    <row r="46" spans="1:21" x14ac:dyDescent="0.2">
      <c r="A46" s="173" t="s">
        <v>98</v>
      </c>
      <c r="B46" s="173" t="s">
        <v>182</v>
      </c>
      <c r="C46" s="173" t="s">
        <v>5</v>
      </c>
      <c r="D46" s="174">
        <v>43</v>
      </c>
      <c r="F46" t="str">
        <f>Spielplan!BD43&amp;":"&amp;Spielplan!BF43</f>
        <v>:</v>
      </c>
      <c r="G46" t="s">
        <v>576</v>
      </c>
      <c r="H46" t="s">
        <v>541</v>
      </c>
      <c r="I46" t="str">
        <f t="shared" si="2"/>
        <v>Spielplan!BD43&amp;":"&amp;Spielplan!BF43</v>
      </c>
      <c r="J46" t="str">
        <f t="shared" si="1"/>
        <v/>
      </c>
      <c r="Q46" s="172" t="s">
        <v>98</v>
      </c>
      <c r="R46" s="173" t="s">
        <v>182</v>
      </c>
      <c r="S46" s="173" t="s">
        <v>5</v>
      </c>
      <c r="T46" s="83">
        <v>43</v>
      </c>
      <c r="U46" s="83"/>
    </row>
    <row r="47" spans="1:21" x14ac:dyDescent="0.2">
      <c r="A47" s="176">
        <v>45465.75</v>
      </c>
      <c r="B47" s="173"/>
      <c r="C47" s="173"/>
      <c r="D47" s="174"/>
      <c r="F47" t="str">
        <f>"("&amp;Spielplan!BH43&amp;")"</f>
        <v>(0)</v>
      </c>
      <c r="G47" t="s">
        <v>541</v>
      </c>
      <c r="H47" t="s">
        <v>575</v>
      </c>
      <c r="I47" t="str">
        <f>IF(OR(A46="A",A46="D",A46="AF",A46="VF",A46="HF",A46="FF"),"""(""&amp;Spielplan!"&amp;$P$2&amp;D46&amp;"&amp;"")""",IF(OR(A46="B",A46="E"),"""(""&amp;Spielplan!"&amp;$P$4&amp;D46&amp;"&amp;"")""",IF(OR(A46="C",A46="F"),"""(""&amp;Spielplan!"&amp;$P$6&amp;D46&amp;"&amp;"")""","")))</f>
        <v>"("&amp;Spielplan!BH43&amp;")"</v>
      </c>
      <c r="Q47" s="172">
        <v>45465.75</v>
      </c>
      <c r="R47" s="173"/>
      <c r="S47" s="173"/>
      <c r="T47" s="83"/>
      <c r="U47" s="83"/>
    </row>
    <row r="48" spans="1:21" x14ac:dyDescent="0.2">
      <c r="A48" s="173" t="s">
        <v>198</v>
      </c>
      <c r="B48" s="83" t="s">
        <v>183</v>
      </c>
      <c r="C48" s="83" t="s">
        <v>672</v>
      </c>
      <c r="D48">
        <v>43</v>
      </c>
      <c r="F48" t="str">
        <f>Spielplan!AJ43&amp;":"&amp;Spielplan!AL43</f>
        <v>:</v>
      </c>
      <c r="G48" t="s">
        <v>633</v>
      </c>
      <c r="H48" t="s">
        <v>541</v>
      </c>
      <c r="I48" t="str">
        <f t="shared" si="2"/>
        <v>Spielplan!AJ43&amp;":"&amp;Spielplan!AL43</v>
      </c>
      <c r="J48" t="str">
        <f t="shared" si="1"/>
        <v/>
      </c>
      <c r="Q48" s="175" t="s">
        <v>198</v>
      </c>
      <c r="R48" s="83" t="s">
        <v>183</v>
      </c>
      <c r="S48" s="83" t="s">
        <v>672</v>
      </c>
      <c r="T48" s="83">
        <v>43</v>
      </c>
      <c r="U48" s="83"/>
    </row>
    <row r="49" spans="1:21" x14ac:dyDescent="0.2">
      <c r="A49" s="176">
        <v>45465.875</v>
      </c>
      <c r="B49" s="83"/>
      <c r="C49" s="83"/>
      <c r="F49" t="str">
        <f>"("&amp;Spielplan!AN43&amp;")"</f>
        <v>(0)</v>
      </c>
      <c r="G49" t="s">
        <v>541</v>
      </c>
      <c r="H49" t="s">
        <v>641</v>
      </c>
      <c r="I49" t="str">
        <f>IF(OR(A48="A",A48="D",A48="AF",A48="VF",A48="HF",A48="FF"),"""(""&amp;Spielplan!"&amp;$P$2&amp;D48&amp;"&amp;"")""",IF(OR(A48="B",A48="E"),"""(""&amp;Spielplan!"&amp;$P$4&amp;D48&amp;"&amp;"")""",IF(OR(A48="C",A48="F"),"""(""&amp;Spielplan!"&amp;$P$6&amp;D48&amp;"&amp;"")""","")))</f>
        <v>"("&amp;Spielplan!AN43&amp;")"</v>
      </c>
      <c r="Q49" s="175">
        <v>45465.875</v>
      </c>
      <c r="R49" s="83"/>
      <c r="S49" s="83"/>
      <c r="T49" s="83"/>
      <c r="U49" s="83"/>
    </row>
    <row r="50" spans="1:21" x14ac:dyDescent="0.2">
      <c r="A50" s="173" t="s">
        <v>37</v>
      </c>
      <c r="B50" s="173" t="s">
        <v>180</v>
      </c>
      <c r="C50" s="173" t="s">
        <v>4</v>
      </c>
      <c r="D50" s="174">
        <v>17</v>
      </c>
      <c r="F50" t="str">
        <f>Spielplan!P17&amp;":"&amp;Spielplan!R17</f>
        <v>:</v>
      </c>
      <c r="G50" t="s">
        <v>579</v>
      </c>
      <c r="H50" t="s">
        <v>541</v>
      </c>
      <c r="I50" t="str">
        <f t="shared" si="2"/>
        <v>Spielplan!P17&amp;":"&amp;Spielplan!R17</v>
      </c>
      <c r="J50" t="str">
        <f t="shared" si="1"/>
        <v/>
      </c>
      <c r="Q50" s="172" t="s">
        <v>37</v>
      </c>
      <c r="R50" s="173" t="s">
        <v>180</v>
      </c>
      <c r="S50" s="173" t="s">
        <v>4</v>
      </c>
      <c r="T50" s="83">
        <v>17</v>
      </c>
      <c r="U50" s="83"/>
    </row>
    <row r="51" spans="1:21" x14ac:dyDescent="0.2">
      <c r="A51" s="176">
        <v>45466.875</v>
      </c>
      <c r="B51" s="173"/>
      <c r="C51" s="173"/>
      <c r="D51" s="174"/>
      <c r="F51" t="str">
        <f>"("&amp;Spielplan!T17&amp;")"</f>
        <v>(0)</v>
      </c>
      <c r="G51" t="s">
        <v>541</v>
      </c>
      <c r="H51" t="s">
        <v>580</v>
      </c>
      <c r="I51" t="str">
        <f>IF(OR(A50="A",A50="D",A50="AF",A50="VF",A50="HF",A50="FF"),"""(""&amp;Spielplan!"&amp;$P$2&amp;D50&amp;"&amp;"")""",IF(OR(A50="B",A50="E"),"""(""&amp;Spielplan!"&amp;$P$4&amp;D50&amp;"&amp;"")""",IF(OR(A50="C",A50="F"),"""(""&amp;Spielplan!"&amp;$P$6&amp;D50&amp;"&amp;"")""","")))</f>
        <v>"("&amp;Spielplan!T17&amp;")"</v>
      </c>
      <c r="Q51" s="172">
        <v>45466.875</v>
      </c>
      <c r="R51" s="173"/>
      <c r="S51" s="173"/>
      <c r="T51" s="83"/>
      <c r="U51" s="83"/>
    </row>
    <row r="52" spans="1:21" x14ac:dyDescent="0.2">
      <c r="A52" s="173" t="s">
        <v>37</v>
      </c>
      <c r="B52" s="83" t="s">
        <v>511</v>
      </c>
      <c r="C52" s="83" t="s">
        <v>185</v>
      </c>
      <c r="D52">
        <v>19</v>
      </c>
      <c r="F52" t="str">
        <f>Spielplan!P19&amp;":"&amp;Spielplan!R19</f>
        <v>:</v>
      </c>
      <c r="G52" t="s">
        <v>581</v>
      </c>
      <c r="H52" t="s">
        <v>541</v>
      </c>
      <c r="I52" t="str">
        <f t="shared" si="2"/>
        <v>Spielplan!P19&amp;":"&amp;Spielplan!R19</v>
      </c>
      <c r="J52" t="str">
        <f t="shared" si="1"/>
        <v/>
      </c>
      <c r="Q52" s="175" t="s">
        <v>37</v>
      </c>
      <c r="R52" s="83" t="s">
        <v>511</v>
      </c>
      <c r="S52" s="83" t="s">
        <v>185</v>
      </c>
      <c r="T52" s="83">
        <v>19</v>
      </c>
      <c r="U52" s="83"/>
    </row>
    <row r="53" spans="1:21" x14ac:dyDescent="0.2">
      <c r="A53" s="176">
        <v>45466.875</v>
      </c>
      <c r="B53" s="83"/>
      <c r="C53" s="83"/>
      <c r="F53" t="str">
        <f>"("&amp;Spielplan!T19&amp;")"</f>
        <v>(0)</v>
      </c>
      <c r="G53" t="s">
        <v>541</v>
      </c>
      <c r="H53" t="s">
        <v>582</v>
      </c>
      <c r="I53" t="str">
        <f>IF(OR(A52="A",A52="D",A52="AF",A52="VF",A52="HF",A52="FF"),"""(""&amp;Spielplan!"&amp;$P$2&amp;D52&amp;"&amp;"")""",IF(OR(A52="B",A52="E"),"""(""&amp;Spielplan!"&amp;$P$4&amp;D52&amp;"&amp;"")""",IF(OR(A52="C",A52="F"),"""(""&amp;Spielplan!"&amp;$P$6&amp;D52&amp;"&amp;"")""","")))</f>
        <v>"("&amp;Spielplan!T19&amp;")"</v>
      </c>
      <c r="Q53" s="175">
        <v>45466.875</v>
      </c>
      <c r="R53" s="83"/>
      <c r="S53" s="83"/>
      <c r="T53" s="83"/>
      <c r="U53" s="83"/>
    </row>
    <row r="54" spans="1:21" x14ac:dyDescent="0.2">
      <c r="A54" s="173" t="s">
        <v>39</v>
      </c>
      <c r="B54" s="173" t="s">
        <v>11</v>
      </c>
      <c r="C54" s="173" t="s">
        <v>658</v>
      </c>
      <c r="D54" s="174">
        <v>17</v>
      </c>
      <c r="F54" t="str">
        <f>Spielplan!BD17&amp;":"&amp;Spielplan!BF17</f>
        <v>:</v>
      </c>
      <c r="G54" t="s">
        <v>583</v>
      </c>
      <c r="H54" t="s">
        <v>541</v>
      </c>
      <c r="I54" t="str">
        <f t="shared" si="2"/>
        <v>Spielplan!BD17&amp;":"&amp;Spielplan!BF17</v>
      </c>
      <c r="J54" t="str">
        <f t="shared" si="1"/>
        <v/>
      </c>
      <c r="Q54" s="172" t="s">
        <v>39</v>
      </c>
      <c r="R54" s="173" t="s">
        <v>11</v>
      </c>
      <c r="S54" s="173" t="s">
        <v>658</v>
      </c>
      <c r="T54" s="83">
        <v>17</v>
      </c>
      <c r="U54" s="83"/>
    </row>
    <row r="55" spans="1:21" x14ac:dyDescent="0.2">
      <c r="A55" s="176">
        <v>45468.875</v>
      </c>
      <c r="B55" s="173"/>
      <c r="C55" s="173"/>
      <c r="D55" s="174"/>
      <c r="F55" t="str">
        <f>"("&amp;Spielplan!BH17&amp;")"</f>
        <v>(0)</v>
      </c>
      <c r="G55" t="s">
        <v>541</v>
      </c>
      <c r="H55" t="s">
        <v>577</v>
      </c>
      <c r="I55" t="str">
        <f>IF(OR(A54="A",A54="D",A54="AF",A54="VF",A54="HF",A54="FF"),"""(""&amp;Spielplan!"&amp;$P$2&amp;D54&amp;"&amp;"")""",IF(OR(A54="B",A54="E"),"""(""&amp;Spielplan!"&amp;$P$4&amp;D54&amp;"&amp;"")""",IF(OR(A54="C",A54="F"),"""(""&amp;Spielplan!"&amp;$P$6&amp;D54&amp;"&amp;"")""","")))</f>
        <v>"("&amp;Spielplan!BH17&amp;")"</v>
      </c>
      <c r="Q55" s="172">
        <v>45468.875</v>
      </c>
      <c r="R55" s="173"/>
      <c r="S55" s="173"/>
      <c r="T55" s="83"/>
      <c r="U55" s="83"/>
    </row>
    <row r="56" spans="1:21" x14ac:dyDescent="0.2">
      <c r="A56" s="173" t="s">
        <v>39</v>
      </c>
      <c r="B56" s="83" t="s">
        <v>509</v>
      </c>
      <c r="C56" s="83" t="s">
        <v>659</v>
      </c>
      <c r="D56">
        <v>19</v>
      </c>
      <c r="F56" t="str">
        <f>Spielplan!BD19&amp;":"&amp;Spielplan!BF19</f>
        <v>:</v>
      </c>
      <c r="G56" t="s">
        <v>584</v>
      </c>
      <c r="H56" t="s">
        <v>541</v>
      </c>
      <c r="I56" t="str">
        <f t="shared" si="2"/>
        <v>Spielplan!BD19&amp;":"&amp;Spielplan!BF19</v>
      </c>
      <c r="J56" t="str">
        <f t="shared" si="1"/>
        <v/>
      </c>
      <c r="Q56" s="175" t="s">
        <v>39</v>
      </c>
      <c r="R56" s="83" t="s">
        <v>509</v>
      </c>
      <c r="S56" s="83" t="s">
        <v>659</v>
      </c>
      <c r="T56" s="83">
        <v>19</v>
      </c>
      <c r="U56" s="83"/>
    </row>
    <row r="57" spans="1:21" x14ac:dyDescent="0.2">
      <c r="A57" s="176">
        <v>45468.875</v>
      </c>
      <c r="B57" s="83"/>
      <c r="C57" s="83"/>
      <c r="F57" t="str">
        <f>"("&amp;Spielplan!BH19&amp;")"</f>
        <v>(0)</v>
      </c>
      <c r="G57" t="s">
        <v>541</v>
      </c>
      <c r="H57" t="s">
        <v>585</v>
      </c>
      <c r="I57" t="str">
        <f>IF(OR(A56="A",A56="D",A56="AF",A56="VF",A56="HF",A56="FF"),"""(""&amp;Spielplan!"&amp;$P$2&amp;D56&amp;"&amp;"")""",IF(OR(A56="B",A56="E"),"""(""&amp;Spielplan!"&amp;$P$4&amp;D56&amp;"&amp;"")""",IF(OR(A56="C",A56="F"),"""(""&amp;Spielplan!"&amp;$P$6&amp;D56&amp;"&amp;"")""","")))</f>
        <v>"("&amp;Spielplan!BH19&amp;")"</v>
      </c>
      <c r="Q57" s="175">
        <v>45468.875</v>
      </c>
      <c r="R57" s="83"/>
      <c r="S57" s="83"/>
      <c r="T57" s="83"/>
      <c r="U57" s="83"/>
    </row>
    <row r="58" spans="1:21" x14ac:dyDescent="0.2">
      <c r="A58" s="173" t="s">
        <v>38</v>
      </c>
      <c r="B58" s="173" t="s">
        <v>9</v>
      </c>
      <c r="C58" s="173" t="s">
        <v>7</v>
      </c>
      <c r="D58" s="174">
        <v>17</v>
      </c>
      <c r="F58" t="str">
        <f>Spielplan!AJ17&amp;":"&amp;Spielplan!AL17</f>
        <v>:</v>
      </c>
      <c r="G58" t="s">
        <v>634</v>
      </c>
      <c r="H58" t="s">
        <v>541</v>
      </c>
      <c r="I58" t="str">
        <f t="shared" si="2"/>
        <v>Spielplan!AJ17&amp;":"&amp;Spielplan!AL17</v>
      </c>
      <c r="J58" t="str">
        <f t="shared" si="1"/>
        <v/>
      </c>
      <c r="Q58" s="172" t="s">
        <v>38</v>
      </c>
      <c r="R58" s="173" t="s">
        <v>9</v>
      </c>
      <c r="S58" s="173" t="s">
        <v>7</v>
      </c>
      <c r="T58" s="83">
        <v>17</v>
      </c>
      <c r="U58" s="83"/>
    </row>
    <row r="59" spans="1:21" x14ac:dyDescent="0.2">
      <c r="A59" s="176">
        <v>45467.875</v>
      </c>
      <c r="B59" s="173"/>
      <c r="C59" s="173"/>
      <c r="D59" s="174"/>
      <c r="F59" t="str">
        <f>"("&amp;Spielplan!AN17&amp;")"</f>
        <v>(0)</v>
      </c>
      <c r="G59" t="s">
        <v>541</v>
      </c>
      <c r="H59" t="s">
        <v>578</v>
      </c>
      <c r="I59" t="str">
        <f>IF(OR(A58="A",A58="D",A58="AF",A58="VF",A58="HF",A58="FF"),"""(""&amp;Spielplan!"&amp;$P$2&amp;D58&amp;"&amp;"")""",IF(OR(A58="B",A58="E"),"""(""&amp;Spielplan!"&amp;$P$4&amp;D58&amp;"&amp;"")""",IF(OR(A58="C",A58="F"),"""(""&amp;Spielplan!"&amp;$P$6&amp;D58&amp;"&amp;"")""","")))</f>
        <v>"("&amp;Spielplan!AN17&amp;")"</v>
      </c>
      <c r="Q59" s="172">
        <v>45467.875</v>
      </c>
      <c r="R59" s="173"/>
      <c r="S59" s="173"/>
      <c r="T59" s="83"/>
      <c r="U59" s="83"/>
    </row>
    <row r="60" spans="1:21" x14ac:dyDescent="0.2">
      <c r="A60" s="173" t="s">
        <v>38</v>
      </c>
      <c r="B60" s="83" t="s">
        <v>651</v>
      </c>
      <c r="C60" s="83" t="s">
        <v>6</v>
      </c>
      <c r="D60">
        <v>19</v>
      </c>
      <c r="F60" t="str">
        <f>Spielplan!AJ19&amp;":"&amp;Spielplan!AL19</f>
        <v>:</v>
      </c>
      <c r="G60" t="s">
        <v>635</v>
      </c>
      <c r="H60" t="s">
        <v>541</v>
      </c>
      <c r="I60" t="str">
        <f t="shared" si="2"/>
        <v>Spielplan!AJ19&amp;":"&amp;Spielplan!AL19</v>
      </c>
      <c r="J60" t="str">
        <f t="shared" si="1"/>
        <v/>
      </c>
      <c r="Q60" s="175" t="s">
        <v>38</v>
      </c>
      <c r="R60" s="83" t="s">
        <v>651</v>
      </c>
      <c r="S60" s="83" t="s">
        <v>6</v>
      </c>
      <c r="T60" s="83">
        <v>19</v>
      </c>
      <c r="U60" s="83"/>
    </row>
    <row r="61" spans="1:21" x14ac:dyDescent="0.2">
      <c r="A61" s="176">
        <v>45467.875</v>
      </c>
      <c r="B61" s="83"/>
      <c r="C61" s="83"/>
      <c r="F61" t="str">
        <f>"("&amp;Spielplan!AN19&amp;")"</f>
        <v>(0)</v>
      </c>
      <c r="G61" t="s">
        <v>541</v>
      </c>
      <c r="H61" t="s">
        <v>586</v>
      </c>
      <c r="I61" t="str">
        <f>IF(OR(A60="A",A60="D",A60="AF",A60="VF",A60="HF",A60="FF"),"""(""&amp;Spielplan!"&amp;$P$2&amp;D60&amp;"&amp;"")""",IF(OR(A60="B",A60="E"),"""(""&amp;Spielplan!"&amp;$P$4&amp;D60&amp;"&amp;"")""",IF(OR(A60="C",A60="F"),"""(""&amp;Spielplan!"&amp;$P$6&amp;D60&amp;"&amp;"")""","")))</f>
        <v>"("&amp;Spielplan!AN19&amp;")"</v>
      </c>
      <c r="Q61" s="175">
        <v>45467.875</v>
      </c>
      <c r="R61" s="83"/>
      <c r="S61" s="83"/>
      <c r="T61" s="83"/>
      <c r="U61" s="83"/>
    </row>
    <row r="62" spans="1:21" x14ac:dyDescent="0.2">
      <c r="A62" s="173" t="s">
        <v>40</v>
      </c>
      <c r="B62" s="173" t="s">
        <v>510</v>
      </c>
      <c r="C62" s="173" t="s">
        <v>184</v>
      </c>
      <c r="D62" s="174">
        <v>45</v>
      </c>
      <c r="F62" t="str">
        <f>Spielplan!P45&amp;":"&amp;Spielplan!R45</f>
        <v>:</v>
      </c>
      <c r="G62" t="s">
        <v>588</v>
      </c>
      <c r="H62" t="s">
        <v>541</v>
      </c>
      <c r="I62" t="str">
        <f t="shared" si="2"/>
        <v>Spielplan!P45&amp;":"&amp;Spielplan!R45</v>
      </c>
      <c r="J62" t="str">
        <f t="shared" si="1"/>
        <v/>
      </c>
      <c r="Q62" s="172" t="s">
        <v>40</v>
      </c>
      <c r="R62" s="173" t="s">
        <v>510</v>
      </c>
      <c r="S62" s="173" t="s">
        <v>184</v>
      </c>
      <c r="T62" s="83">
        <v>45</v>
      </c>
      <c r="U62" s="83"/>
    </row>
    <row r="63" spans="1:21" x14ac:dyDescent="0.2">
      <c r="A63" s="176">
        <v>45468.75</v>
      </c>
      <c r="B63" s="173"/>
      <c r="C63" s="173"/>
      <c r="D63" s="174"/>
      <c r="F63" t="str">
        <f>"("&amp;Spielplan!T45&amp;")"</f>
        <v>(0)</v>
      </c>
      <c r="G63" t="s">
        <v>541</v>
      </c>
      <c r="H63" t="s">
        <v>589</v>
      </c>
      <c r="I63" t="str">
        <f>IF(OR(A62="A",A62="D",A62="AF",A62="VF",A62="HF",A62="FF"),"""(""&amp;Spielplan!"&amp;$P$2&amp;D62&amp;"&amp;"")""",IF(OR(A62="B",A62="E"),"""(""&amp;Spielplan!"&amp;$P$4&amp;D62&amp;"&amp;"")""",IF(OR(A62="C",A62="F"),"""(""&amp;Spielplan!"&amp;$P$6&amp;D62&amp;"&amp;"")""","")))</f>
        <v>"("&amp;Spielplan!T45&amp;")"</v>
      </c>
      <c r="Q63" s="172">
        <v>45468.75</v>
      </c>
      <c r="R63" s="173"/>
      <c r="S63" s="173"/>
      <c r="T63" s="83"/>
      <c r="U63" s="83"/>
    </row>
    <row r="64" spans="1:21" x14ac:dyDescent="0.2">
      <c r="A64" s="173" t="s">
        <v>40</v>
      </c>
      <c r="B64" s="83" t="s">
        <v>10</v>
      </c>
      <c r="C64" s="83" t="s">
        <v>706</v>
      </c>
      <c r="D64">
        <v>47</v>
      </c>
      <c r="F64" t="str">
        <f>Spielplan!P47&amp;":"&amp;Spielplan!R47</f>
        <v>:</v>
      </c>
      <c r="G64" t="s">
        <v>590</v>
      </c>
      <c r="H64" t="s">
        <v>541</v>
      </c>
      <c r="I64" t="str">
        <f t="shared" si="2"/>
        <v>Spielplan!P47&amp;":"&amp;Spielplan!R47</v>
      </c>
      <c r="J64" t="str">
        <f t="shared" si="1"/>
        <v/>
      </c>
      <c r="Q64" s="175" t="s">
        <v>40</v>
      </c>
      <c r="R64" s="83" t="s">
        <v>10</v>
      </c>
      <c r="S64" s="83" t="s">
        <v>706</v>
      </c>
      <c r="T64" s="83">
        <v>47</v>
      </c>
      <c r="U64" s="83"/>
    </row>
    <row r="65" spans="1:21" x14ac:dyDescent="0.2">
      <c r="A65" s="176">
        <v>45468.75</v>
      </c>
      <c r="B65" s="83"/>
      <c r="C65" s="83"/>
      <c r="F65" t="str">
        <f>"("&amp;Spielplan!T47&amp;")"</f>
        <v>(0)</v>
      </c>
      <c r="G65" t="s">
        <v>541</v>
      </c>
      <c r="H65" t="s">
        <v>591</v>
      </c>
      <c r="I65" t="str">
        <f>IF(OR(A64="A",A64="D",A64="AF",A64="VF",A64="HF",A64="FF"),"""(""&amp;Spielplan!"&amp;$P$2&amp;D64&amp;"&amp;"")""",IF(OR(A64="B",A64="E"),"""(""&amp;Spielplan!"&amp;$P$4&amp;D64&amp;"&amp;"")""",IF(OR(A64="C",A64="F"),"""(""&amp;Spielplan!"&amp;$P$6&amp;D64&amp;"&amp;"")""","")))</f>
        <v>"("&amp;Spielplan!T47&amp;")"</v>
      </c>
      <c r="Q65" s="175">
        <v>45468.75</v>
      </c>
      <c r="R65" s="83"/>
      <c r="S65" s="83"/>
      <c r="T65" s="83"/>
      <c r="U65" s="83"/>
    </row>
    <row r="66" spans="1:21" x14ac:dyDescent="0.2">
      <c r="A66" s="173" t="s">
        <v>198</v>
      </c>
      <c r="B66" s="173" t="s">
        <v>181</v>
      </c>
      <c r="C66" s="173" t="s">
        <v>672</v>
      </c>
      <c r="D66" s="174">
        <v>45</v>
      </c>
      <c r="F66" t="str">
        <f>Spielplan!AJ45&amp;":"&amp;Spielplan!AL45</f>
        <v>:</v>
      </c>
      <c r="G66" t="s">
        <v>636</v>
      </c>
      <c r="H66" t="s">
        <v>541</v>
      </c>
      <c r="I66" t="str">
        <f t="shared" ref="I66:I72" si="3">IF(OR(A66="A",A66="D",A66="AF",A66="VF",A66="HF",A66="FF"),"Spielplan!"&amp;$N$2&amp;D66&amp;"&amp;"":""&amp;Spielplan!"&amp;$O$2&amp;D66,IF(OR(A66="B",A66="E"),"Spielplan!"&amp;$N$4&amp;D66&amp;"&amp;"":""&amp;Spielplan!"&amp;$O$4&amp;D66,IF(OR(A66="C",A66="F"),"Spielplan!"&amp;$N$6&amp;D66&amp;"&amp;"":""&amp;Spielplan!"&amp;$O$6&amp;D66,"")))</f>
        <v>Spielplan!AJ45&amp;":"&amp;Spielplan!AL45</v>
      </c>
      <c r="J66" t="str">
        <f t="shared" si="1"/>
        <v/>
      </c>
      <c r="Q66" s="172" t="s">
        <v>198</v>
      </c>
      <c r="R66" s="173" t="s">
        <v>181</v>
      </c>
      <c r="S66" s="173" t="s">
        <v>672</v>
      </c>
      <c r="T66" s="83">
        <v>45</v>
      </c>
      <c r="U66" s="83"/>
    </row>
    <row r="67" spans="1:21" x14ac:dyDescent="0.2">
      <c r="A67" s="176">
        <v>45469.75</v>
      </c>
      <c r="B67" s="173"/>
      <c r="C67" s="173"/>
      <c r="D67" s="174"/>
      <c r="F67" t="str">
        <f>"("&amp;Spielplan!AN45&amp;")"</f>
        <v>(0)</v>
      </c>
      <c r="G67" t="s">
        <v>541</v>
      </c>
      <c r="H67" t="s">
        <v>587</v>
      </c>
      <c r="I67" t="str">
        <f>IF(OR(A66="A",A66="D",A66="AF",A66="VF",A66="HF",A66="FF"),"""(""&amp;Spielplan!"&amp;$P$2&amp;D66&amp;"&amp;"")""",IF(OR(A66="B",A66="E"),"""(""&amp;Spielplan!"&amp;$P$4&amp;D66&amp;"&amp;"")""",IF(OR(A66="C",A66="F"),"""(""&amp;Spielplan!"&amp;$P$6&amp;D66&amp;"&amp;"")""","")))</f>
        <v>"("&amp;Spielplan!AN45&amp;")"</v>
      </c>
      <c r="Q67" s="172">
        <v>45469.75</v>
      </c>
      <c r="R67" s="173"/>
      <c r="S67" s="173"/>
      <c r="T67" s="83"/>
      <c r="U67" s="83"/>
    </row>
    <row r="68" spans="1:21" x14ac:dyDescent="0.2">
      <c r="A68" s="173" t="s">
        <v>198</v>
      </c>
      <c r="B68" s="83" t="s">
        <v>707</v>
      </c>
      <c r="C68" s="83" t="s">
        <v>183</v>
      </c>
      <c r="D68">
        <v>47</v>
      </c>
      <c r="F68" t="str">
        <f>Spielplan!AJ47&amp;":"&amp;Spielplan!AL47</f>
        <v>:</v>
      </c>
      <c r="G68" t="s">
        <v>637</v>
      </c>
      <c r="H68" t="s">
        <v>541</v>
      </c>
      <c r="I68" t="str">
        <f t="shared" si="3"/>
        <v>Spielplan!AJ47&amp;":"&amp;Spielplan!AL47</v>
      </c>
      <c r="J68" t="str">
        <f t="shared" ref="J68:J102" si="4">IF(OR(A67="A",A67="D",A67="AF",A67="VF",A67="HF",A67="FF"),"""(""&amp;Spielplan!"&amp;$P$2&amp;D67&amp;"&amp;"")""",IF(OR(A67="B",A67="E"),"""(""&amp;Spielplan!"&amp;$P$4&amp;D67&amp;"&amp;"")""",IF(OR(A67="C",A67="F"),"""(""&amp;Spielplan!"&amp;$P$6&amp;D67&amp;"&amp;"")""","")))</f>
        <v/>
      </c>
      <c r="Q68" s="175" t="s">
        <v>198</v>
      </c>
      <c r="R68" s="83" t="s">
        <v>707</v>
      </c>
      <c r="S68" s="83" t="s">
        <v>183</v>
      </c>
      <c r="T68" s="83">
        <v>47</v>
      </c>
      <c r="U68" s="83"/>
    </row>
    <row r="69" spans="1:21" x14ac:dyDescent="0.2">
      <c r="A69" s="176">
        <v>45469.75</v>
      </c>
      <c r="B69" s="83"/>
      <c r="C69" s="83"/>
      <c r="F69" t="str">
        <f>"("&amp;Spielplan!AN47&amp;")"</f>
        <v>(0)</v>
      </c>
      <c r="G69" t="s">
        <v>541</v>
      </c>
      <c r="H69" t="s">
        <v>592</v>
      </c>
      <c r="I69" t="str">
        <f>IF(OR(A68="A",A68="D",A68="AF",A68="VF",A68="HF",A68="FF"),"""(""&amp;Spielplan!"&amp;$P$2&amp;D68&amp;"&amp;"")""",IF(OR(A68="B",A68="E"),"""(""&amp;Spielplan!"&amp;$P$4&amp;D68&amp;"&amp;"")""",IF(OR(A68="C",A68="F"),"""(""&amp;Spielplan!"&amp;$P$6&amp;D68&amp;"&amp;"")""","")))</f>
        <v>"("&amp;Spielplan!AN47&amp;")"</v>
      </c>
      <c r="Q69" s="175">
        <v>45469.75</v>
      </c>
      <c r="R69" s="83"/>
      <c r="S69" s="83"/>
      <c r="T69" s="83"/>
      <c r="U69" s="83"/>
    </row>
    <row r="70" spans="1:21" x14ac:dyDescent="0.2">
      <c r="A70" s="173" t="s">
        <v>98</v>
      </c>
      <c r="B70" s="173" t="s">
        <v>708</v>
      </c>
      <c r="C70" s="173" t="s">
        <v>5</v>
      </c>
      <c r="D70" s="174">
        <v>45</v>
      </c>
      <c r="F70" t="str">
        <f>Spielplan!BD45&amp;":"&amp;Spielplan!BF45</f>
        <v>:</v>
      </c>
      <c r="G70" t="s">
        <v>593</v>
      </c>
      <c r="H70" t="s">
        <v>541</v>
      </c>
      <c r="I70" t="str">
        <f t="shared" si="3"/>
        <v>Spielplan!BD45&amp;":"&amp;Spielplan!BF45</v>
      </c>
      <c r="J70" t="str">
        <f t="shared" si="4"/>
        <v/>
      </c>
      <c r="Q70" s="172" t="s">
        <v>98</v>
      </c>
      <c r="R70" s="173" t="s">
        <v>708</v>
      </c>
      <c r="S70" s="173" t="s">
        <v>5</v>
      </c>
      <c r="T70" s="83">
        <v>45</v>
      </c>
      <c r="U70" s="83"/>
    </row>
    <row r="71" spans="1:21" x14ac:dyDescent="0.2">
      <c r="A71" s="176">
        <v>45469.875</v>
      </c>
      <c r="B71" s="173"/>
      <c r="C71" s="173"/>
      <c r="D71" s="174"/>
      <c r="F71" t="str">
        <f>"("&amp;Spielplan!BH45&amp;")"</f>
        <v>(0)</v>
      </c>
      <c r="G71" t="s">
        <v>541</v>
      </c>
      <c r="H71" t="s">
        <v>642</v>
      </c>
      <c r="I71" t="str">
        <f>IF(OR(A70="A",A70="D",A70="AF",A70="VF",A70="HF",A70="FF"),"""(""&amp;Spielplan!"&amp;$P$2&amp;D70&amp;"&amp;"")""",IF(OR(A70="B",A70="E"),"""(""&amp;Spielplan!"&amp;$P$4&amp;D70&amp;"&amp;"")""",IF(OR(A70="C",A70="F"),"""(""&amp;Spielplan!"&amp;$P$6&amp;D70&amp;"&amp;"")""","")))</f>
        <v>"("&amp;Spielplan!BH45&amp;")"</v>
      </c>
      <c r="Q71" s="172">
        <v>45469.875</v>
      </c>
      <c r="R71" s="173"/>
      <c r="S71" s="173"/>
      <c r="T71" s="83"/>
      <c r="U71" s="83"/>
    </row>
    <row r="72" spans="1:21" x14ac:dyDescent="0.2">
      <c r="A72" s="173" t="s">
        <v>98</v>
      </c>
      <c r="B72" s="83" t="s">
        <v>8</v>
      </c>
      <c r="C72" s="83" t="s">
        <v>182</v>
      </c>
      <c r="D72">
        <v>47</v>
      </c>
      <c r="F72" t="str">
        <f>Spielplan!BD47&amp;":"&amp;Spielplan!BF47</f>
        <v>:</v>
      </c>
      <c r="G72" t="s">
        <v>594</v>
      </c>
      <c r="H72" t="s">
        <v>541</v>
      </c>
      <c r="I72" t="str">
        <f t="shared" si="3"/>
        <v>Spielplan!BD47&amp;":"&amp;Spielplan!BF47</v>
      </c>
      <c r="J72" t="str">
        <f t="shared" si="4"/>
        <v/>
      </c>
      <c r="Q72" s="175" t="s">
        <v>98</v>
      </c>
      <c r="R72" s="83" t="s">
        <v>8</v>
      </c>
      <c r="S72" s="83" t="s">
        <v>182</v>
      </c>
      <c r="T72" s="83">
        <v>47</v>
      </c>
      <c r="U72" s="83"/>
    </row>
    <row r="73" spans="1:21" x14ac:dyDescent="0.2">
      <c r="A73" s="176">
        <v>45469.875</v>
      </c>
      <c r="B73" s="83"/>
      <c r="C73" s="83"/>
      <c r="F73" t="str">
        <f>"("&amp;Spielplan!BH47&amp;")"</f>
        <v>(0)</v>
      </c>
      <c r="G73" t="s">
        <v>541</v>
      </c>
      <c r="H73" t="s">
        <v>643</v>
      </c>
      <c r="I73" t="str">
        <f>IF(OR(A72="A",A72="D",A72="AF",A72="VF",A72="HF",A72="FF"),"""(""&amp;Spielplan!"&amp;$P$2&amp;D72&amp;"&amp;"")""",IF(OR(A72="B",A72="E"),"""(""&amp;Spielplan!"&amp;$P$4&amp;D72&amp;"&amp;"")""",IF(OR(A72="C",A72="F"),"""(""&amp;Spielplan!"&amp;$P$6&amp;D72&amp;"&amp;"")""","")))</f>
        <v>"("&amp;Spielplan!BH47&amp;")"</v>
      </c>
      <c r="Q73" s="175">
        <v>45469.875</v>
      </c>
      <c r="R73" s="83"/>
      <c r="S73" s="83"/>
      <c r="T73" s="83"/>
      <c r="U73" s="83"/>
    </row>
    <row r="74" spans="1:21" x14ac:dyDescent="0.2">
      <c r="A74" s="173" t="s">
        <v>187</v>
      </c>
      <c r="B74" s="173" t="s">
        <v>511</v>
      </c>
      <c r="C74" s="173" t="s">
        <v>509</v>
      </c>
      <c r="D74" s="174">
        <v>59</v>
      </c>
      <c r="F74" t="str">
        <f>Spielplan!P59&amp;":"&amp;Spielplan!R59</f>
        <v>:</v>
      </c>
      <c r="H74" t="s">
        <v>541</v>
      </c>
      <c r="I74" t="s">
        <v>595</v>
      </c>
      <c r="J74" t="str">
        <f t="shared" si="4"/>
        <v/>
      </c>
      <c r="Q74" s="172" t="s">
        <v>187</v>
      </c>
      <c r="R74" s="173" t="s">
        <v>511</v>
      </c>
      <c r="S74" s="173" t="s">
        <v>509</v>
      </c>
      <c r="T74" s="83">
        <v>59</v>
      </c>
      <c r="U74" s="83"/>
    </row>
    <row r="75" spans="1:21" x14ac:dyDescent="0.2">
      <c r="A75" s="176">
        <v>45472.75</v>
      </c>
      <c r="B75" s="173"/>
      <c r="C75" s="173"/>
      <c r="D75" s="174"/>
      <c r="F75" t="str">
        <f>"("&amp;Spielplan!T59&amp;")"</f>
        <v>(0)</v>
      </c>
      <c r="G75" t="s">
        <v>541</v>
      </c>
      <c r="I75" t="s">
        <v>596</v>
      </c>
      <c r="J75" t="str">
        <f t="shared" si="4"/>
        <v/>
      </c>
      <c r="Q75" s="172">
        <v>45472.75</v>
      </c>
      <c r="R75" s="173"/>
      <c r="S75" s="173"/>
      <c r="T75" s="83"/>
      <c r="U75" s="83"/>
    </row>
    <row r="76" spans="1:21" x14ac:dyDescent="0.2">
      <c r="A76" s="173" t="s">
        <v>188</v>
      </c>
      <c r="B76" s="83" t="s">
        <v>4</v>
      </c>
      <c r="C76" s="83" t="s">
        <v>9</v>
      </c>
      <c r="D76">
        <v>62</v>
      </c>
      <c r="F76" t="str">
        <f>Spielplan!P62&amp;":"&amp;Spielplan!R62</f>
        <v>:</v>
      </c>
      <c r="I76" t="s">
        <v>597</v>
      </c>
      <c r="J76" t="str">
        <f t="shared" si="4"/>
        <v/>
      </c>
      <c r="Q76" s="175" t="s">
        <v>188</v>
      </c>
      <c r="R76" s="83" t="s">
        <v>4</v>
      </c>
      <c r="S76" s="83" t="s">
        <v>9</v>
      </c>
      <c r="T76" s="83">
        <v>62</v>
      </c>
      <c r="U76" s="83"/>
    </row>
    <row r="77" spans="1:21" x14ac:dyDescent="0.2">
      <c r="A77" s="176">
        <v>45472.875</v>
      </c>
      <c r="B77" s="83"/>
      <c r="C77" s="83"/>
      <c r="F77" t="str">
        <f>"("&amp;Spielplan!T62&amp;")"</f>
        <v>(0)</v>
      </c>
      <c r="G77" t="s">
        <v>541</v>
      </c>
      <c r="I77" t="s">
        <v>598</v>
      </c>
      <c r="J77" t="str">
        <f t="shared" si="4"/>
        <v/>
      </c>
      <c r="Q77" s="175">
        <v>45472.875</v>
      </c>
      <c r="R77" s="83"/>
      <c r="S77" s="83"/>
      <c r="T77" s="83"/>
      <c r="U77" s="83"/>
    </row>
    <row r="78" spans="1:21" x14ac:dyDescent="0.2">
      <c r="A78" s="173" t="s">
        <v>189</v>
      </c>
      <c r="B78" s="173" t="s">
        <v>651</v>
      </c>
      <c r="C78" s="173" t="s">
        <v>708</v>
      </c>
      <c r="D78" s="174">
        <v>65</v>
      </c>
      <c r="F78" t="str">
        <f>Spielplan!P65&amp;":"&amp;Spielplan!R65</f>
        <v>:</v>
      </c>
      <c r="I78" t="s">
        <v>599</v>
      </c>
      <c r="J78" t="str">
        <f t="shared" si="4"/>
        <v/>
      </c>
      <c r="Q78" s="172" t="s">
        <v>189</v>
      </c>
      <c r="R78" s="173" t="s">
        <v>651</v>
      </c>
      <c r="S78" s="173" t="s">
        <v>708</v>
      </c>
      <c r="T78" s="83">
        <v>65</v>
      </c>
      <c r="U78" s="83"/>
    </row>
    <row r="79" spans="1:21" x14ac:dyDescent="0.2">
      <c r="A79" s="176">
        <v>45473.75</v>
      </c>
      <c r="B79" s="173"/>
      <c r="C79" s="173"/>
      <c r="D79" s="174"/>
      <c r="F79" t="str">
        <f>"("&amp;Spielplan!T65&amp;")"</f>
        <v>(0)</v>
      </c>
      <c r="G79" t="s">
        <v>541</v>
      </c>
      <c r="I79" t="s">
        <v>600</v>
      </c>
      <c r="J79" t="str">
        <f t="shared" si="4"/>
        <v/>
      </c>
      <c r="Q79" s="172">
        <v>45473.75</v>
      </c>
      <c r="R79" s="173"/>
      <c r="S79" s="173"/>
      <c r="T79" s="83"/>
      <c r="U79" s="83"/>
    </row>
    <row r="80" spans="1:21" x14ac:dyDescent="0.2">
      <c r="A80" s="173" t="s">
        <v>190</v>
      </c>
      <c r="B80" s="83" t="s">
        <v>11</v>
      </c>
      <c r="C80" s="83" t="s">
        <v>183</v>
      </c>
      <c r="D80">
        <v>68</v>
      </c>
      <c r="F80" t="str">
        <f>Spielplan!P68&amp;":"&amp;Spielplan!R68</f>
        <v>:</v>
      </c>
      <c r="I80" t="s">
        <v>601</v>
      </c>
      <c r="J80" t="str">
        <f t="shared" si="4"/>
        <v/>
      </c>
      <c r="Q80" s="175" t="s">
        <v>190</v>
      </c>
      <c r="R80" s="83" t="s">
        <v>11</v>
      </c>
      <c r="S80" s="83" t="s">
        <v>183</v>
      </c>
      <c r="T80" s="83">
        <v>68</v>
      </c>
      <c r="U80" s="83"/>
    </row>
    <row r="81" spans="1:21" x14ac:dyDescent="0.2">
      <c r="A81" s="176">
        <v>45473.875</v>
      </c>
      <c r="B81" s="83"/>
      <c r="C81" s="83"/>
      <c r="F81" t="str">
        <f>"("&amp;Spielplan!T68&amp;")"</f>
        <v>(0)</v>
      </c>
      <c r="G81" t="s">
        <v>541</v>
      </c>
      <c r="I81" t="s">
        <v>602</v>
      </c>
      <c r="J81" t="str">
        <f t="shared" si="4"/>
        <v/>
      </c>
      <c r="Q81" s="175">
        <v>45473.875</v>
      </c>
      <c r="R81" s="83"/>
      <c r="S81" s="83"/>
      <c r="T81" s="83"/>
      <c r="U81" s="83"/>
    </row>
    <row r="82" spans="1:21" x14ac:dyDescent="0.2">
      <c r="A82" s="173" t="s">
        <v>191</v>
      </c>
      <c r="B82" s="173" t="s">
        <v>8</v>
      </c>
      <c r="C82" s="173" t="s">
        <v>184</v>
      </c>
      <c r="D82" s="174">
        <v>71</v>
      </c>
      <c r="F82" t="str">
        <f>Spielplan!P71&amp;":"&amp;Spielplan!R71</f>
        <v>:</v>
      </c>
      <c r="I82" t="s">
        <v>603</v>
      </c>
      <c r="J82" t="str">
        <f t="shared" si="4"/>
        <v/>
      </c>
      <c r="Q82" s="172" t="s">
        <v>191</v>
      </c>
      <c r="R82" s="173" t="s">
        <v>8</v>
      </c>
      <c r="S82" s="173" t="s">
        <v>184</v>
      </c>
      <c r="T82" s="83">
        <v>71</v>
      </c>
      <c r="U82" s="83"/>
    </row>
    <row r="83" spans="1:21" x14ac:dyDescent="0.2">
      <c r="A83" s="176">
        <v>45474.75</v>
      </c>
      <c r="B83" s="173"/>
      <c r="C83" s="173"/>
      <c r="D83" s="174"/>
      <c r="F83" t="str">
        <f>"("&amp;Spielplan!T71&amp;")"</f>
        <v>(0)</v>
      </c>
      <c r="G83" t="s">
        <v>541</v>
      </c>
      <c r="I83" t="s">
        <v>604</v>
      </c>
      <c r="J83" t="str">
        <f t="shared" si="4"/>
        <v/>
      </c>
      <c r="Q83" s="172">
        <v>45474.75</v>
      </c>
      <c r="R83" s="173"/>
      <c r="S83" s="173"/>
      <c r="T83" s="83"/>
      <c r="U83" s="83"/>
    </row>
    <row r="84" spans="1:21" x14ac:dyDescent="0.2">
      <c r="A84" s="172" t="s">
        <v>192</v>
      </c>
      <c r="B84" s="83" t="s">
        <v>706</v>
      </c>
      <c r="C84" s="83" t="s">
        <v>181</v>
      </c>
      <c r="D84">
        <v>74</v>
      </c>
      <c r="F84" t="str">
        <f>Spielplan!P74&amp;":"&amp;Spielplan!R74</f>
        <v>:</v>
      </c>
      <c r="I84" t="s">
        <v>605</v>
      </c>
      <c r="J84" t="str">
        <f t="shared" si="4"/>
        <v/>
      </c>
      <c r="Q84" s="175" t="s">
        <v>192</v>
      </c>
      <c r="R84" s="83" t="s">
        <v>706</v>
      </c>
      <c r="S84" s="83" t="s">
        <v>181</v>
      </c>
      <c r="T84" s="83">
        <v>74</v>
      </c>
      <c r="U84" s="83"/>
    </row>
    <row r="85" spans="1:21" x14ac:dyDescent="0.2">
      <c r="A85" s="175">
        <v>45474.875</v>
      </c>
      <c r="B85" s="83"/>
      <c r="C85" s="83"/>
      <c r="F85" t="str">
        <f>"("&amp;Spielplan!T74&amp;")"</f>
        <v>(0)</v>
      </c>
      <c r="G85" t="s">
        <v>541</v>
      </c>
      <c r="I85" t="s">
        <v>606</v>
      </c>
      <c r="J85" t="str">
        <f t="shared" si="4"/>
        <v/>
      </c>
      <c r="Q85" s="175">
        <v>45474.875</v>
      </c>
      <c r="R85" s="83"/>
      <c r="S85" s="83"/>
      <c r="T85" s="83"/>
      <c r="U85" s="83"/>
    </row>
    <row r="86" spans="1:21" x14ac:dyDescent="0.2">
      <c r="A86" s="175" t="s">
        <v>193</v>
      </c>
      <c r="B86" s="173" t="s">
        <v>707</v>
      </c>
      <c r="C86" s="173" t="s">
        <v>659</v>
      </c>
      <c r="D86" s="174">
        <v>77</v>
      </c>
      <c r="F86" t="str">
        <f>Spielplan!P77&amp;":"&amp;Spielplan!R77</f>
        <v>:</v>
      </c>
      <c r="I86" t="s">
        <v>607</v>
      </c>
      <c r="J86" t="str">
        <f t="shared" si="4"/>
        <v/>
      </c>
      <c r="Q86" s="172" t="s">
        <v>193</v>
      </c>
      <c r="R86" s="173" t="s">
        <v>707</v>
      </c>
      <c r="S86" s="173" t="s">
        <v>659</v>
      </c>
      <c r="T86" s="83">
        <v>77</v>
      </c>
      <c r="U86" s="83"/>
    </row>
    <row r="87" spans="1:21" x14ac:dyDescent="0.2">
      <c r="A87" s="172">
        <v>45475.75</v>
      </c>
      <c r="B87" s="173"/>
      <c r="C87" s="173"/>
      <c r="D87" s="174"/>
      <c r="F87" t="str">
        <f>"("&amp;Spielplan!T77&amp;")"</f>
        <v>(0)</v>
      </c>
      <c r="G87" t="s">
        <v>541</v>
      </c>
      <c r="I87" t="s">
        <v>608</v>
      </c>
      <c r="J87" t="str">
        <f t="shared" si="4"/>
        <v/>
      </c>
      <c r="Q87" s="172">
        <v>45475.75</v>
      </c>
      <c r="R87" s="173"/>
      <c r="S87" s="173"/>
      <c r="T87" s="83"/>
      <c r="U87" s="83"/>
    </row>
    <row r="88" spans="1:21" x14ac:dyDescent="0.2">
      <c r="A88" s="172" t="s">
        <v>194</v>
      </c>
      <c r="B88" s="83" t="s">
        <v>510</v>
      </c>
      <c r="C88" s="83" t="s">
        <v>5</v>
      </c>
      <c r="D88">
        <v>80</v>
      </c>
      <c r="F88" t="str">
        <f>Spielplan!P80&amp;":"&amp;Spielplan!R80</f>
        <v>:</v>
      </c>
      <c r="I88" t="s">
        <v>609</v>
      </c>
      <c r="J88" t="str">
        <f t="shared" si="4"/>
        <v/>
      </c>
      <c r="Q88" s="175" t="s">
        <v>194</v>
      </c>
      <c r="R88" s="83" t="s">
        <v>510</v>
      </c>
      <c r="S88" s="83" t="s">
        <v>5</v>
      </c>
      <c r="T88" s="83">
        <v>80</v>
      </c>
      <c r="U88" s="83"/>
    </row>
    <row r="89" spans="1:21" x14ac:dyDescent="0.2">
      <c r="A89" s="175">
        <v>45475.875</v>
      </c>
      <c r="B89" s="83"/>
      <c r="C89" s="83"/>
      <c r="F89" t="str">
        <f>"("&amp;Spielplan!T80&amp;")"</f>
        <v>(0)</v>
      </c>
      <c r="G89" t="s">
        <v>541</v>
      </c>
      <c r="I89" t="s">
        <v>610</v>
      </c>
      <c r="J89" t="str">
        <f t="shared" si="4"/>
        <v/>
      </c>
      <c r="Q89" s="175">
        <v>45475.875</v>
      </c>
      <c r="R89" s="83"/>
      <c r="S89" s="83"/>
      <c r="T89" s="83"/>
      <c r="U89" s="83"/>
    </row>
    <row r="90" spans="1:21" x14ac:dyDescent="0.2">
      <c r="A90" s="175" t="s">
        <v>74</v>
      </c>
      <c r="B90" s="173" t="s">
        <v>651</v>
      </c>
      <c r="C90" s="173" t="s">
        <v>511</v>
      </c>
      <c r="D90" s="174">
        <v>86</v>
      </c>
      <c r="F90" t="str">
        <f>Spielplan!P86&amp;":"&amp;Spielplan!R86</f>
        <v>:</v>
      </c>
      <c r="I90" t="s">
        <v>611</v>
      </c>
      <c r="J90" t="str">
        <f t="shared" si="4"/>
        <v/>
      </c>
      <c r="Q90" s="172" t="s">
        <v>74</v>
      </c>
      <c r="R90" s="173" t="s">
        <v>651</v>
      </c>
      <c r="S90" s="173" t="s">
        <v>511</v>
      </c>
      <c r="T90" s="83">
        <v>86</v>
      </c>
      <c r="U90" s="83"/>
    </row>
    <row r="91" spans="1:21" x14ac:dyDescent="0.2">
      <c r="A91" s="172">
        <v>45478.75</v>
      </c>
      <c r="B91" s="173"/>
      <c r="C91" s="173"/>
      <c r="D91" s="174"/>
      <c r="F91" t="str">
        <f>"("&amp;Spielplan!T86&amp;")"</f>
        <v>(0)</v>
      </c>
      <c r="G91" t="s">
        <v>541</v>
      </c>
      <c r="I91" t="s">
        <v>612</v>
      </c>
      <c r="J91" t="str">
        <f t="shared" si="4"/>
        <v/>
      </c>
      <c r="Q91" s="172">
        <v>45478.75</v>
      </c>
      <c r="R91" s="173"/>
      <c r="S91" s="173"/>
      <c r="T91" s="83"/>
      <c r="U91" s="83"/>
    </row>
    <row r="92" spans="1:21" x14ac:dyDescent="0.2">
      <c r="A92" s="172" t="s">
        <v>75</v>
      </c>
      <c r="B92" s="83" t="s">
        <v>8</v>
      </c>
      <c r="C92" s="83" t="s">
        <v>706</v>
      </c>
      <c r="D92">
        <v>89</v>
      </c>
      <c r="F92" t="str">
        <f>Spielplan!P89&amp;":"&amp;Spielplan!R89</f>
        <v>:</v>
      </c>
      <c r="I92" t="s">
        <v>613</v>
      </c>
      <c r="J92" t="str">
        <f t="shared" si="4"/>
        <v/>
      </c>
      <c r="Q92" s="175" t="s">
        <v>75</v>
      </c>
      <c r="R92" s="83" t="s">
        <v>8</v>
      </c>
      <c r="S92" s="83" t="s">
        <v>706</v>
      </c>
      <c r="T92" s="83">
        <v>89</v>
      </c>
      <c r="U92" s="83"/>
    </row>
    <row r="93" spans="1:21" x14ac:dyDescent="0.2">
      <c r="A93" s="175">
        <v>45478.875</v>
      </c>
      <c r="B93" s="83"/>
      <c r="C93" s="83"/>
      <c r="F93" t="str">
        <f>"("&amp;Spielplan!T89&amp;")"</f>
        <v>(0)</v>
      </c>
      <c r="G93" t="s">
        <v>541</v>
      </c>
      <c r="I93" t="s">
        <v>614</v>
      </c>
      <c r="J93" t="str">
        <f t="shared" si="4"/>
        <v/>
      </c>
      <c r="Q93" s="175">
        <v>45478.875</v>
      </c>
      <c r="R93" s="83"/>
      <c r="S93" s="83"/>
      <c r="T93" s="83"/>
      <c r="U93" s="83"/>
    </row>
    <row r="94" spans="1:21" x14ac:dyDescent="0.2">
      <c r="A94" s="175" t="s">
        <v>76</v>
      </c>
      <c r="B94" s="173" t="s">
        <v>707</v>
      </c>
      <c r="C94" s="173" t="s">
        <v>510</v>
      </c>
      <c r="D94" s="174">
        <v>92</v>
      </c>
      <c r="F94" t="str">
        <f>Spielplan!P92&amp;":"&amp;Spielplan!R92</f>
        <v>:</v>
      </c>
      <c r="I94" t="s">
        <v>615</v>
      </c>
      <c r="J94" t="str">
        <f t="shared" si="4"/>
        <v/>
      </c>
      <c r="Q94" s="172" t="s">
        <v>76</v>
      </c>
      <c r="R94" s="173" t="s">
        <v>707</v>
      </c>
      <c r="S94" s="173" t="s">
        <v>510</v>
      </c>
      <c r="T94" s="83">
        <v>92</v>
      </c>
      <c r="U94" s="83"/>
    </row>
    <row r="95" spans="1:21" x14ac:dyDescent="0.2">
      <c r="A95" s="172">
        <v>45479.75</v>
      </c>
      <c r="B95" s="173"/>
      <c r="C95" s="173"/>
      <c r="D95" s="174"/>
      <c r="F95" t="str">
        <f>"("&amp;Spielplan!T92&amp;")"</f>
        <v>(0)</v>
      </c>
      <c r="G95" t="s">
        <v>541</v>
      </c>
      <c r="I95" t="s">
        <v>616</v>
      </c>
      <c r="J95" t="str">
        <f t="shared" si="4"/>
        <v/>
      </c>
      <c r="Q95" s="172">
        <v>45479.75</v>
      </c>
      <c r="R95" s="173"/>
      <c r="S95" s="173"/>
      <c r="T95" s="83"/>
      <c r="U95" s="83"/>
    </row>
    <row r="96" spans="1:21" x14ac:dyDescent="0.2">
      <c r="A96" s="172" t="s">
        <v>77</v>
      </c>
      <c r="B96" s="83" t="s">
        <v>11</v>
      </c>
      <c r="C96" s="83" t="s">
        <v>4</v>
      </c>
      <c r="D96">
        <v>95</v>
      </c>
      <c r="F96" t="str">
        <f>Spielplan!P95&amp;":"&amp;Spielplan!R95</f>
        <v>:</v>
      </c>
      <c r="I96" t="s">
        <v>617</v>
      </c>
      <c r="J96" t="str">
        <f t="shared" si="4"/>
        <v/>
      </c>
      <c r="Q96" s="175" t="s">
        <v>77</v>
      </c>
      <c r="R96" s="83" t="s">
        <v>11</v>
      </c>
      <c r="S96" s="83" t="s">
        <v>4</v>
      </c>
      <c r="T96" s="83">
        <v>95</v>
      </c>
      <c r="U96" s="83"/>
    </row>
    <row r="97" spans="1:21" x14ac:dyDescent="0.2">
      <c r="A97" s="175">
        <v>45479.875</v>
      </c>
      <c r="B97" s="83"/>
      <c r="C97" s="83"/>
      <c r="F97" t="str">
        <f>"("&amp;Spielplan!T95&amp;")"</f>
        <v>(0)</v>
      </c>
      <c r="G97" t="s">
        <v>541</v>
      </c>
      <c r="I97" t="s">
        <v>618</v>
      </c>
      <c r="J97" t="str">
        <f t="shared" si="4"/>
        <v/>
      </c>
      <c r="Q97" s="175">
        <v>45479.875</v>
      </c>
      <c r="R97" s="83"/>
      <c r="S97" s="83"/>
      <c r="T97" s="83"/>
      <c r="U97" s="83"/>
    </row>
    <row r="98" spans="1:21" x14ac:dyDescent="0.2">
      <c r="A98" s="175" t="s">
        <v>78</v>
      </c>
      <c r="B98" s="173" t="s">
        <v>651</v>
      </c>
      <c r="C98" s="173" t="s">
        <v>8</v>
      </c>
      <c r="D98" s="174">
        <v>101</v>
      </c>
      <c r="F98" t="str">
        <f>Spielplan!P101&amp;":"&amp;Spielplan!R101</f>
        <v>:</v>
      </c>
      <c r="I98" t="s">
        <v>619</v>
      </c>
      <c r="J98" t="str">
        <f t="shared" si="4"/>
        <v/>
      </c>
      <c r="Q98" s="172" t="s">
        <v>78</v>
      </c>
      <c r="R98" s="173" t="s">
        <v>651</v>
      </c>
      <c r="S98" s="173" t="s">
        <v>8</v>
      </c>
      <c r="T98" s="83">
        <v>101</v>
      </c>
      <c r="U98" s="83"/>
    </row>
    <row r="99" spans="1:21" x14ac:dyDescent="0.2">
      <c r="A99" s="172">
        <v>45482.875</v>
      </c>
      <c r="B99" s="173"/>
      <c r="C99" s="173"/>
      <c r="D99" s="174"/>
      <c r="F99" t="str">
        <f>"("&amp;Spielplan!T101&amp;")"</f>
        <v>(0)</v>
      </c>
      <c r="G99" t="s">
        <v>541</v>
      </c>
      <c r="I99" t="s">
        <v>620</v>
      </c>
      <c r="J99" t="str">
        <f t="shared" si="4"/>
        <v/>
      </c>
      <c r="Q99" s="172">
        <v>45482.875</v>
      </c>
      <c r="R99" s="173"/>
      <c r="S99" s="173"/>
      <c r="T99" s="83"/>
      <c r="U99" s="83"/>
    </row>
    <row r="100" spans="1:21" x14ac:dyDescent="0.2">
      <c r="A100" s="172" t="s">
        <v>79</v>
      </c>
      <c r="B100" s="83" t="s">
        <v>707</v>
      </c>
      <c r="C100" s="83" t="s">
        <v>11</v>
      </c>
      <c r="D100">
        <v>104</v>
      </c>
      <c r="F100" t="str">
        <f>Spielplan!P104&amp;":"&amp;Spielplan!R104</f>
        <v>:</v>
      </c>
      <c r="I100" t="s">
        <v>621</v>
      </c>
      <c r="J100" t="str">
        <f t="shared" si="4"/>
        <v/>
      </c>
      <c r="Q100" s="175" t="s">
        <v>79</v>
      </c>
      <c r="R100" s="83" t="s">
        <v>707</v>
      </c>
      <c r="S100" s="83" t="s">
        <v>11</v>
      </c>
      <c r="T100" s="83">
        <v>104</v>
      </c>
      <c r="U100" s="83"/>
    </row>
    <row r="101" spans="1:21" x14ac:dyDescent="0.2">
      <c r="A101" s="175">
        <v>45483.875</v>
      </c>
      <c r="B101" s="83"/>
      <c r="C101" s="83"/>
      <c r="F101" t="str">
        <f>"("&amp;Spielplan!T104&amp;")"</f>
        <v>(0)</v>
      </c>
      <c r="G101" t="s">
        <v>541</v>
      </c>
      <c r="I101" t="s">
        <v>622</v>
      </c>
      <c r="J101" t="str">
        <f t="shared" si="4"/>
        <v/>
      </c>
      <c r="Q101" s="175">
        <v>45483.875</v>
      </c>
      <c r="R101" s="83"/>
      <c r="S101" s="83"/>
      <c r="T101" s="83"/>
      <c r="U101" s="83"/>
    </row>
    <row r="102" spans="1:21" x14ac:dyDescent="0.2">
      <c r="A102" s="177" t="s">
        <v>98</v>
      </c>
      <c r="B102" s="173" t="s">
        <v>651</v>
      </c>
      <c r="C102" s="173" t="s">
        <v>707</v>
      </c>
      <c r="D102" s="174">
        <v>110</v>
      </c>
      <c r="F102" t="str">
        <f>Spielplan!P110&amp;":"&amp;Spielplan!R110</f>
        <v>:</v>
      </c>
      <c r="H102" t="s">
        <v>541</v>
      </c>
      <c r="I102" t="s">
        <v>623</v>
      </c>
      <c r="J102" t="str">
        <f t="shared" si="4"/>
        <v/>
      </c>
      <c r="Q102" s="172" t="s">
        <v>98</v>
      </c>
      <c r="R102" s="173" t="s">
        <v>651</v>
      </c>
      <c r="S102" s="173" t="s">
        <v>707</v>
      </c>
      <c r="T102" s="83">
        <v>110</v>
      </c>
      <c r="U102" s="83"/>
    </row>
    <row r="103" spans="1:21" x14ac:dyDescent="0.2">
      <c r="A103" s="172">
        <v>45487.875</v>
      </c>
      <c r="B103" s="173"/>
      <c r="C103" s="173"/>
      <c r="D103" s="174"/>
      <c r="F103" t="str">
        <f>"("&amp;Spielplan!T110&amp;")"</f>
        <v>(0)</v>
      </c>
      <c r="G103" t="s">
        <v>541</v>
      </c>
      <c r="I103" t="s">
        <v>624</v>
      </c>
      <c r="Q103" s="172">
        <v>45487.875</v>
      </c>
      <c r="R103" s="173"/>
      <c r="S103" s="173"/>
      <c r="T103" t="s">
        <v>541</v>
      </c>
      <c r="U103" s="83"/>
    </row>
  </sheetData>
  <sheetProtection algorithmName="SHA-512" hashValue="ncByCKGKB8bnnk/p8AaxLO2qSZBuq1Hg8jjXvV86WjQHpJbiVYUvXOk4fpnjhTfPlt5Pj+6DKCZDFudGF4Fyyw==" saltValue="9j46uyNyc16p/wiM2qMH9Q==" spinCount="100000" sheet="1" objects="1" scenarios="1"/>
  <autoFilter ref="A1:J103" xr:uid="{73716E86-AF4D-48E2-9865-A2529810678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rgb="FFFFFF00"/>
  </sheetPr>
  <dimension ref="A1:P25"/>
  <sheetViews>
    <sheetView showGridLines="0" showRowColHeaders="0" workbookViewId="0">
      <selection activeCell="N5" sqref="N5"/>
    </sheetView>
  </sheetViews>
  <sheetFormatPr baseColWidth="10" defaultRowHeight="12.75" x14ac:dyDescent="0.2"/>
  <cols>
    <col min="13" max="13" width="18.28515625" bestFit="1" customWidth="1"/>
    <col min="14" max="14" width="18.140625" bestFit="1" customWidth="1"/>
    <col min="15" max="15" width="18.28515625" bestFit="1" customWidth="1"/>
    <col min="16" max="16" width="18.140625" bestFit="1" customWidth="1"/>
  </cols>
  <sheetData>
    <row r="1" spans="1:16" x14ac:dyDescent="0.2">
      <c r="A1" s="9"/>
      <c r="B1" s="18"/>
      <c r="C1" s="17"/>
      <c r="D1" s="19"/>
      <c r="E1" s="1"/>
      <c r="G1" t="s">
        <v>37</v>
      </c>
      <c r="H1" t="s">
        <v>38</v>
      </c>
      <c r="I1" t="s">
        <v>39</v>
      </c>
      <c r="J1" t="s">
        <v>40</v>
      </c>
      <c r="K1" s="83" t="s">
        <v>198</v>
      </c>
      <c r="L1" s="83" t="s">
        <v>98</v>
      </c>
      <c r="M1" s="83" t="s">
        <v>201</v>
      </c>
      <c r="N1" s="83" t="s">
        <v>202</v>
      </c>
      <c r="O1" s="83" t="s">
        <v>203</v>
      </c>
      <c r="P1" s="83" t="s">
        <v>204</v>
      </c>
    </row>
    <row r="2" spans="1:16" x14ac:dyDescent="0.2">
      <c r="A2" s="9" t="str">
        <f>G3</f>
        <v>Deutschland</v>
      </c>
      <c r="B2" s="18" t="str">
        <f>IF(Spielplan!C86&lt;&gt;"",Spielplan!C86,"")</f>
        <v/>
      </c>
      <c r="C2" s="17" t="str">
        <f>IF(Spielplan!C101&lt;&gt;"",Spielplan!C101,"")</f>
        <v/>
      </c>
      <c r="D2" s="19" t="str">
        <f>IF(Spielplan!C110&lt;&gt;"",Spielplan!C110,"")</f>
        <v/>
      </c>
      <c r="E2" s="1" t="str">
        <f>IF(OR(Spielplan!L110="",Spielplan!N110=""),"",IF(Spielplan!L110&gt;Spielplan!N110,Spielplan!C110,Spielplan!E110))</f>
        <v/>
      </c>
    </row>
    <row r="3" spans="1:16" x14ac:dyDescent="0.2">
      <c r="A3" s="9" t="str">
        <f>G4</f>
        <v>Schottland</v>
      </c>
      <c r="B3" s="18" t="str">
        <f>IF(Spielplan!E86&lt;&gt;"",Spielplan!E86,"")</f>
        <v/>
      </c>
      <c r="C3" s="17" t="str">
        <f>IF(Spielplan!E101&lt;&gt;"",Spielplan!E101,"")</f>
        <v/>
      </c>
      <c r="D3" s="19" t="str">
        <f>IF(Spielplan!E110&lt;&gt;"",Spielplan!E110,"")</f>
        <v/>
      </c>
      <c r="G3" t="str">
        <f>Spielplan!C3</f>
        <v>Deutschland</v>
      </c>
      <c r="H3" t="str">
        <f>Spielplan!W3</f>
        <v>Spanien</v>
      </c>
      <c r="I3" t="str">
        <f>Spielplan!AQ3</f>
        <v>Slowenien</v>
      </c>
      <c r="J3" t="str">
        <f>Spielplan!C31</f>
        <v>Polen</v>
      </c>
      <c r="K3" t="str">
        <f>Spielplan!W31</f>
        <v>Belgien</v>
      </c>
      <c r="L3" t="str">
        <f>Spielplan!AQ31</f>
        <v>Türkei</v>
      </c>
      <c r="M3" t="str">
        <f>Spielplan!C25</f>
        <v/>
      </c>
      <c r="N3" t="str">
        <f>Spielplan!W25</f>
        <v/>
      </c>
      <c r="O3" t="str">
        <f>Spielplan!AQ25</f>
        <v/>
      </c>
      <c r="P3" t="str">
        <f>Spielplan!C25</f>
        <v/>
      </c>
    </row>
    <row r="4" spans="1:16" x14ac:dyDescent="0.2">
      <c r="A4" s="9" t="str">
        <f>G5</f>
        <v>Ungarn</v>
      </c>
      <c r="B4" s="18" t="str">
        <f>IF(Spielplan!C89&lt;&gt;"",Spielplan!C89,"")</f>
        <v/>
      </c>
      <c r="C4" s="17" t="str">
        <f>IF(Spielplan!C104&lt;&gt;"",Spielplan!C104,"")</f>
        <v/>
      </c>
      <c r="G4" t="str">
        <f>Spielplan!E3</f>
        <v>Schottland</v>
      </c>
      <c r="H4" t="str">
        <f>Spielplan!Y3</f>
        <v>Kroatien</v>
      </c>
      <c r="I4" t="str">
        <f>Spielplan!AS3</f>
        <v>Dänemark</v>
      </c>
      <c r="J4" t="str">
        <f>Spielplan!E31</f>
        <v>Niederlande</v>
      </c>
      <c r="K4" t="str">
        <f>Spielplan!Y31</f>
        <v>Slowakei</v>
      </c>
      <c r="L4" t="str">
        <f>Spielplan!AS31</f>
        <v>Georgien</v>
      </c>
      <c r="M4" t="str">
        <f>Spielplan!AQ25</f>
        <v/>
      </c>
      <c r="N4" t="str">
        <f>Spielplan!W53</f>
        <v/>
      </c>
      <c r="O4" t="str">
        <f>Spielplan!C53</f>
        <v/>
      </c>
      <c r="P4" t="str">
        <f>Spielplan!W25</f>
        <v/>
      </c>
    </row>
    <row r="5" spans="1:16" x14ac:dyDescent="0.2">
      <c r="A5" s="9" t="str">
        <f>G6</f>
        <v>Schweiz</v>
      </c>
      <c r="B5" s="18" t="str">
        <f>IF(Spielplan!E89&lt;&gt;"",Spielplan!E89,"")</f>
        <v/>
      </c>
      <c r="C5" s="17" t="str">
        <f>IF(Spielplan!E104&lt;&gt;"",Spielplan!E104,"")</f>
        <v/>
      </c>
      <c r="G5" t="str">
        <f>Spielplan!C5</f>
        <v>Ungarn</v>
      </c>
      <c r="H5" t="str">
        <f>Spielplan!W5</f>
        <v>Italien</v>
      </c>
      <c r="I5" t="str">
        <f>Spielplan!AQ5</f>
        <v>Serbien</v>
      </c>
      <c r="J5" t="str">
        <f>Spielplan!C33</f>
        <v>Österreich</v>
      </c>
      <c r="K5" t="str">
        <f>Spielplan!W33</f>
        <v>Rumänien</v>
      </c>
      <c r="L5" t="str">
        <f>Spielplan!AQ33</f>
        <v>Portugal</v>
      </c>
      <c r="M5" t="str">
        <f>Spielplan!C53</f>
        <v/>
      </c>
      <c r="N5" t="str">
        <f>Spielplan!AQ53</f>
        <v/>
      </c>
      <c r="O5" t="str">
        <f>Spielplan!W53</f>
        <v/>
      </c>
      <c r="P5" t="str">
        <f>Spielplan!AQ53</f>
        <v/>
      </c>
    </row>
    <row r="6" spans="1:16" x14ac:dyDescent="0.2">
      <c r="A6" s="9" t="str">
        <f>H3</f>
        <v>Spanien</v>
      </c>
      <c r="B6" s="18" t="str">
        <f>IF(Spielplan!C92&lt;&gt;"",Spielplan!C92,"")</f>
        <v/>
      </c>
      <c r="G6" t="str">
        <f>Spielplan!E5</f>
        <v>Schweiz</v>
      </c>
      <c r="H6" t="str">
        <f>Spielplan!Y5</f>
        <v>Albanien</v>
      </c>
      <c r="I6" t="str">
        <f>Spielplan!AS5</f>
        <v>England</v>
      </c>
      <c r="J6" t="str">
        <f>Spielplan!E33</f>
        <v>Frankreich</v>
      </c>
      <c r="K6" t="str">
        <f>Spielplan!Y33</f>
        <v>Ukraine</v>
      </c>
      <c r="L6" t="str">
        <f>Spielplan!AS33</f>
        <v>Tschechien</v>
      </c>
    </row>
    <row r="7" spans="1:16" x14ac:dyDescent="0.2">
      <c r="A7" s="9" t="str">
        <f>H4</f>
        <v>Kroatien</v>
      </c>
      <c r="B7" s="18" t="str">
        <f>IF(Spielplan!E92&lt;&gt;"",Spielplan!E92,"")</f>
        <v/>
      </c>
    </row>
    <row r="8" spans="1:16" x14ac:dyDescent="0.2">
      <c r="A8" s="9" t="str">
        <f>H5</f>
        <v>Italien</v>
      </c>
      <c r="B8" s="18" t="str">
        <f>IF(Spielplan!C95&lt;&gt;"",Spielplan!C95,"")</f>
        <v/>
      </c>
    </row>
    <row r="9" spans="1:16" x14ac:dyDescent="0.2">
      <c r="A9" s="9" t="str">
        <f>H6</f>
        <v>Albanien</v>
      </c>
      <c r="B9" s="18" t="str">
        <f>IF(Spielplan!E95&lt;&gt;"",Spielplan!E95,"")</f>
        <v/>
      </c>
    </row>
    <row r="10" spans="1:16" x14ac:dyDescent="0.2">
      <c r="A10" s="9" t="str">
        <f>I3</f>
        <v>Slowenien</v>
      </c>
    </row>
    <row r="11" spans="1:16" x14ac:dyDescent="0.2">
      <c r="A11" s="9" t="str">
        <f>I4</f>
        <v>Dänemark</v>
      </c>
    </row>
    <row r="12" spans="1:16" x14ac:dyDescent="0.2">
      <c r="A12" s="9" t="str">
        <f>I5</f>
        <v>Serbien</v>
      </c>
    </row>
    <row r="13" spans="1:16" x14ac:dyDescent="0.2">
      <c r="A13" s="9" t="str">
        <f>I6</f>
        <v>England</v>
      </c>
    </row>
    <row r="14" spans="1:16" x14ac:dyDescent="0.2">
      <c r="A14" s="9" t="str">
        <f>J3</f>
        <v>Polen</v>
      </c>
    </row>
    <row r="15" spans="1:16" x14ac:dyDescent="0.2">
      <c r="A15" s="9" t="str">
        <f>J4</f>
        <v>Niederlande</v>
      </c>
    </row>
    <row r="16" spans="1:16" x14ac:dyDescent="0.2">
      <c r="A16" s="9" t="str">
        <f>J5</f>
        <v>Österreich</v>
      </c>
    </row>
    <row r="17" spans="1:1" x14ac:dyDescent="0.2">
      <c r="A17" s="9" t="str">
        <f>J6</f>
        <v>Frankreich</v>
      </c>
    </row>
    <row r="18" spans="1:1" x14ac:dyDescent="0.2">
      <c r="A18" s="9" t="str">
        <f>K3</f>
        <v>Belgien</v>
      </c>
    </row>
    <row r="19" spans="1:1" x14ac:dyDescent="0.2">
      <c r="A19" s="9" t="str">
        <f>K4</f>
        <v>Slowakei</v>
      </c>
    </row>
    <row r="20" spans="1:1" x14ac:dyDescent="0.2">
      <c r="A20" s="9" t="str">
        <f>K5</f>
        <v>Rumänien</v>
      </c>
    </row>
    <row r="21" spans="1:1" x14ac:dyDescent="0.2">
      <c r="A21" s="9" t="str">
        <f>K6</f>
        <v>Ukraine</v>
      </c>
    </row>
    <row r="22" spans="1:1" x14ac:dyDescent="0.2">
      <c r="A22" s="9" t="str">
        <f>L3</f>
        <v>Türkei</v>
      </c>
    </row>
    <row r="23" spans="1:1" x14ac:dyDescent="0.2">
      <c r="A23" s="9" t="str">
        <f>L4</f>
        <v>Georgien</v>
      </c>
    </row>
    <row r="24" spans="1:1" x14ac:dyDescent="0.2">
      <c r="A24" s="9" t="str">
        <f>L5</f>
        <v>Portugal</v>
      </c>
    </row>
    <row r="25" spans="1:1" x14ac:dyDescent="0.2">
      <c r="A25" s="9" t="str">
        <f>L6</f>
        <v>Tschechien</v>
      </c>
    </row>
  </sheetData>
  <sheetProtection algorithmName="SHA-512" hashValue="sNXheBz9oANy7IEvE5yCz0kiiVqk4ANcE58NbMy2vwhazffYE2HlLwuWZoZbRf5tgoMdEHfLxajRl3NVyFY0EQ==" saltValue="b/SS80TI6zs/csEsT3g8KQ==" spinCount="100000" sheet="1" objects="1" scenarios="1"/>
  <phoneticPr fontId="1" type="noConversion"/>
  <pageMargins left="0.78740157499999996" right="0.78740157499999996" top="0.984251969" bottom="0.984251969" header="0.4921259845" footer="0.492125984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B2:I84"/>
  <sheetViews>
    <sheetView showGridLines="0" showRowColHeaders="0" zoomScaleNormal="100" workbookViewId="0">
      <selection activeCell="E13" sqref="E13"/>
    </sheetView>
  </sheetViews>
  <sheetFormatPr baseColWidth="10" defaultRowHeight="12.75" x14ac:dyDescent="0.2"/>
  <cols>
    <col min="5" max="5" width="11.42578125" style="2" customWidth="1"/>
    <col min="7" max="7" width="13.5703125" customWidth="1"/>
    <col min="9" max="9" width="11.42578125" hidden="1" customWidth="1"/>
  </cols>
  <sheetData>
    <row r="2" spans="2:7" x14ac:dyDescent="0.2">
      <c r="B2" s="3" t="s">
        <v>56</v>
      </c>
      <c r="D2" s="191" t="s">
        <v>644</v>
      </c>
    </row>
    <row r="4" spans="2:7" x14ac:dyDescent="0.2">
      <c r="B4" s="216" t="str">
        <f>"Für ein richtig getipptes Ergebnis gibt es "&amp;D9&amp;" Punkte, für die richtige Tordifferenz "&amp;D10&amp;" Punkte und für die Tendenz (Heimsieg, Unentschieden, Auswärtssieg) gibt es noch "&amp;D11&amp;" Punkt.
Bei Unentschieden gibt es keine Tordifferenz, daher können Sie hier entweder "&amp;D9&amp;" Punkte für das richtige Ergebnis, oder "&amp;D11&amp;" Punkt für die Tendenz bekommen. 
Für die Finalrunde können Sie optional eine abweichende Punkteregelung wählen."</f>
        <v>Für ein richtig getipptes Ergebnis gibt es 3 Punkte, für die richtige Tordifferenz 2 Punkte und für die Tendenz (Heimsieg, Unentschieden, Auswärtssieg) gibt es noch 1 Punkt.
Bei Unentschieden gibt es keine Tordifferenz, daher können Sie hier entweder 3 Punkte für das richtige Ergebnis, oder 1 Punkt für die Tendenz bekommen. 
Für die Finalrunde können Sie optional eine abweichende Punkteregelung wählen.</v>
      </c>
      <c r="C4" s="216"/>
      <c r="D4" s="216"/>
      <c r="E4" s="216"/>
      <c r="F4" s="216"/>
      <c r="G4" s="216"/>
    </row>
    <row r="5" spans="2:7" x14ac:dyDescent="0.2">
      <c r="B5" s="216"/>
      <c r="C5" s="216"/>
      <c r="D5" s="216"/>
      <c r="E5" s="216"/>
      <c r="F5" s="216"/>
      <c r="G5" s="216"/>
    </row>
    <row r="6" spans="2:7" ht="77.25" customHeight="1" x14ac:dyDescent="0.2">
      <c r="B6" s="216"/>
      <c r="C6" s="216"/>
      <c r="D6" s="216"/>
      <c r="E6" s="216"/>
      <c r="F6" s="216"/>
      <c r="G6" s="216"/>
    </row>
    <row r="8" spans="2:7" x14ac:dyDescent="0.2">
      <c r="D8" s="117" t="s">
        <v>314</v>
      </c>
      <c r="E8"/>
      <c r="F8" s="3" t="s">
        <v>315</v>
      </c>
    </row>
    <row r="9" spans="2:7" x14ac:dyDescent="0.2">
      <c r="B9" t="s">
        <v>316</v>
      </c>
      <c r="D9" s="146">
        <v>3</v>
      </c>
      <c r="E9" s="4" t="s">
        <v>21</v>
      </c>
      <c r="F9" s="146">
        <v>3</v>
      </c>
      <c r="G9" s="4" t="s">
        <v>21</v>
      </c>
    </row>
    <row r="10" spans="2:7" x14ac:dyDescent="0.2">
      <c r="B10" t="s">
        <v>317</v>
      </c>
      <c r="D10" s="146">
        <v>2</v>
      </c>
      <c r="E10" s="4" t="s">
        <v>21</v>
      </c>
      <c r="F10" s="146">
        <v>2</v>
      </c>
      <c r="G10" s="4" t="s">
        <v>21</v>
      </c>
    </row>
    <row r="11" spans="2:7" x14ac:dyDescent="0.2">
      <c r="B11" t="s">
        <v>318</v>
      </c>
      <c r="D11" s="146">
        <v>1</v>
      </c>
      <c r="E11" s="4" t="s">
        <v>21</v>
      </c>
      <c r="F11" s="146">
        <v>1</v>
      </c>
      <c r="G11" s="4" t="s">
        <v>21</v>
      </c>
    </row>
    <row r="12" spans="2:7" ht="13.5" thickBot="1" x14ac:dyDescent="0.25"/>
    <row r="13" spans="2:7" ht="13.5" thickBot="1" x14ac:dyDescent="0.25">
      <c r="B13" s="165" t="s">
        <v>521</v>
      </c>
      <c r="C13" s="163"/>
      <c r="D13" s="163"/>
      <c r="E13" s="164" t="s">
        <v>26</v>
      </c>
    </row>
    <row r="14" spans="2:7" ht="26.45" customHeight="1" x14ac:dyDescent="0.2">
      <c r="B14" s="218" t="s">
        <v>319</v>
      </c>
      <c r="C14" s="212"/>
      <c r="D14" s="212"/>
      <c r="E14" s="212"/>
      <c r="F14" s="212"/>
      <c r="G14" s="212"/>
    </row>
    <row r="15" spans="2:7" ht="26.45" customHeight="1" x14ac:dyDescent="0.2">
      <c r="B15" t="s">
        <v>57</v>
      </c>
      <c r="C15" t="s">
        <v>58</v>
      </c>
      <c r="D15" t="s">
        <v>59</v>
      </c>
    </row>
    <row r="16" spans="2:7" x14ac:dyDescent="0.2">
      <c r="D16" t="s">
        <v>314</v>
      </c>
      <c r="E16" s="2" t="s">
        <v>315</v>
      </c>
    </row>
    <row r="17" spans="2:7" x14ac:dyDescent="0.2">
      <c r="B17" s="33" t="s">
        <v>60</v>
      </c>
      <c r="C17" s="33" t="s">
        <v>60</v>
      </c>
      <c r="D17" s="4">
        <f>D9</f>
        <v>3</v>
      </c>
      <c r="E17" s="4">
        <f>F9</f>
        <v>3</v>
      </c>
      <c r="F17" s="4" t="s">
        <v>61</v>
      </c>
    </row>
    <row r="18" spans="2:7" x14ac:dyDescent="0.2">
      <c r="B18" s="34" t="s">
        <v>62</v>
      </c>
      <c r="C18" s="34" t="s">
        <v>62</v>
      </c>
      <c r="D18" s="35">
        <f>D9</f>
        <v>3</v>
      </c>
      <c r="E18" s="35">
        <f>F9</f>
        <v>3</v>
      </c>
      <c r="F18" s="35" t="s">
        <v>61</v>
      </c>
      <c r="G18" s="14"/>
    </row>
    <row r="19" spans="2:7" x14ac:dyDescent="0.2">
      <c r="B19" s="33" t="s">
        <v>63</v>
      </c>
      <c r="C19" s="33" t="s">
        <v>64</v>
      </c>
      <c r="D19" s="4">
        <f>D10</f>
        <v>2</v>
      </c>
      <c r="E19" s="4">
        <f>F10</f>
        <v>2</v>
      </c>
      <c r="F19" s="4" t="s">
        <v>65</v>
      </c>
    </row>
    <row r="20" spans="2:7" ht="13.5" thickBot="1" x14ac:dyDescent="0.25">
      <c r="B20" s="33" t="s">
        <v>66</v>
      </c>
      <c r="C20" s="33" t="s">
        <v>60</v>
      </c>
      <c r="D20" s="4">
        <f>D10</f>
        <v>2</v>
      </c>
      <c r="E20" s="4">
        <f>F10</f>
        <v>2</v>
      </c>
      <c r="F20" s="4" t="s">
        <v>65</v>
      </c>
    </row>
    <row r="21" spans="2:7" ht="13.5" thickBot="1" x14ac:dyDescent="0.25">
      <c r="B21" s="166" t="s">
        <v>67</v>
      </c>
      <c r="C21" s="167" t="s">
        <v>68</v>
      </c>
      <c r="D21" s="168">
        <f>IF(E13="Tendenz",D11,IF(E13="Tordifferenz",D10,""))</f>
        <v>1</v>
      </c>
      <c r="E21" s="168">
        <f>IF(E13="Tendenz",F11,IF(E13="Tordifferenz",F10,""))</f>
        <v>1</v>
      </c>
      <c r="F21" s="168" t="str">
        <f>E13&amp;" richtig getippt"</f>
        <v>Tendenz richtig getippt</v>
      </c>
      <c r="G21" s="169"/>
    </row>
    <row r="22" spans="2:7" x14ac:dyDescent="0.2">
      <c r="B22" s="34" t="s">
        <v>70</v>
      </c>
      <c r="C22" s="34" t="s">
        <v>71</v>
      </c>
      <c r="D22" s="35">
        <f>D11</f>
        <v>1</v>
      </c>
      <c r="E22" s="35">
        <f>F11</f>
        <v>1</v>
      </c>
      <c r="F22" s="35" t="s">
        <v>69</v>
      </c>
      <c r="G22" s="14"/>
    </row>
    <row r="23" spans="2:7" x14ac:dyDescent="0.2">
      <c r="B23" s="33" t="s">
        <v>72</v>
      </c>
      <c r="C23" s="33" t="s">
        <v>67</v>
      </c>
      <c r="D23" s="4">
        <v>0</v>
      </c>
      <c r="E23" s="4">
        <v>0</v>
      </c>
      <c r="F23" s="4" t="s">
        <v>73</v>
      </c>
    </row>
    <row r="25" spans="2:7" x14ac:dyDescent="0.2">
      <c r="B25" s="215" t="s">
        <v>89</v>
      </c>
      <c r="C25" s="216"/>
      <c r="D25" s="216"/>
      <c r="E25" s="216"/>
      <c r="F25" s="216"/>
      <c r="G25" s="216"/>
    </row>
    <row r="26" spans="2:7" x14ac:dyDescent="0.2">
      <c r="B26" s="216"/>
      <c r="C26" s="216"/>
      <c r="D26" s="216"/>
      <c r="E26" s="216"/>
      <c r="F26" s="216"/>
      <c r="G26" s="216"/>
    </row>
    <row r="27" spans="2:7" x14ac:dyDescent="0.2">
      <c r="B27" s="216"/>
      <c r="C27" s="216"/>
      <c r="D27" s="216"/>
      <c r="E27" s="216"/>
      <c r="F27" s="216"/>
      <c r="G27" s="216"/>
    </row>
    <row r="29" spans="2:7" x14ac:dyDescent="0.2">
      <c r="B29" s="219" t="s">
        <v>206</v>
      </c>
      <c r="C29" s="216"/>
      <c r="D29" s="216"/>
      <c r="E29" s="216"/>
      <c r="F29" s="216"/>
      <c r="G29" s="216"/>
    </row>
    <row r="30" spans="2:7" x14ac:dyDescent="0.2">
      <c r="B30" s="216"/>
      <c r="C30" s="216"/>
      <c r="D30" s="216"/>
      <c r="E30" s="216"/>
      <c r="F30" s="216"/>
      <c r="G30" s="216"/>
    </row>
    <row r="31" spans="2:7" x14ac:dyDescent="0.2">
      <c r="B31" s="216"/>
      <c r="C31" s="216"/>
      <c r="D31" s="216"/>
      <c r="E31" s="216"/>
      <c r="F31" s="216"/>
      <c r="G31" s="216"/>
    </row>
    <row r="33" spans="2:7" x14ac:dyDescent="0.2">
      <c r="B33" t="s">
        <v>85</v>
      </c>
      <c r="E33" s="146">
        <v>1</v>
      </c>
      <c r="F33" s="4" t="s">
        <v>21</v>
      </c>
    </row>
    <row r="34" spans="2:7" x14ac:dyDescent="0.2">
      <c r="B34" s="83" t="s">
        <v>200</v>
      </c>
      <c r="E34" s="146">
        <v>2</v>
      </c>
      <c r="F34" s="4" t="s">
        <v>21</v>
      </c>
    </row>
    <row r="35" spans="2:7" x14ac:dyDescent="0.2">
      <c r="B35" t="s">
        <v>86</v>
      </c>
      <c r="E35" s="146">
        <v>3</v>
      </c>
      <c r="F35" s="4" t="s">
        <v>21</v>
      </c>
    </row>
    <row r="36" spans="2:7" x14ac:dyDescent="0.2">
      <c r="B36" t="s">
        <v>87</v>
      </c>
      <c r="E36" s="146">
        <v>4</v>
      </c>
      <c r="F36" s="4" t="s">
        <v>21</v>
      </c>
    </row>
    <row r="37" spans="2:7" x14ac:dyDescent="0.2">
      <c r="B37" t="s">
        <v>88</v>
      </c>
      <c r="E37" s="146">
        <v>5</v>
      </c>
      <c r="F37" s="4" t="s">
        <v>21</v>
      </c>
    </row>
    <row r="38" spans="2:7" x14ac:dyDescent="0.2">
      <c r="B38" t="s">
        <v>110</v>
      </c>
      <c r="E38" s="146">
        <v>6</v>
      </c>
      <c r="F38" s="4" t="s">
        <v>21</v>
      </c>
    </row>
    <row r="40" spans="2:7" x14ac:dyDescent="0.2">
      <c r="B40" t="s">
        <v>207</v>
      </c>
      <c r="E40" s="146">
        <v>3</v>
      </c>
      <c r="F40" s="4" t="s">
        <v>21</v>
      </c>
    </row>
    <row r="42" spans="2:7" x14ac:dyDescent="0.2">
      <c r="B42" s="216" t="s">
        <v>90</v>
      </c>
      <c r="C42" s="216"/>
      <c r="D42" s="216"/>
      <c r="E42" s="216"/>
      <c r="F42" s="216"/>
      <c r="G42" s="216"/>
    </row>
    <row r="43" spans="2:7" x14ac:dyDescent="0.2">
      <c r="B43" s="216"/>
      <c r="C43" s="216"/>
      <c r="D43" s="216"/>
      <c r="E43" s="216"/>
      <c r="F43" s="216"/>
      <c r="G43" s="216"/>
    </row>
    <row r="44" spans="2:7" x14ac:dyDescent="0.2">
      <c r="B44" s="216"/>
      <c r="C44" s="216"/>
      <c r="D44" s="216"/>
      <c r="E44" s="216"/>
      <c r="F44" s="216"/>
      <c r="G44" s="216"/>
    </row>
    <row r="46" spans="2:7" x14ac:dyDescent="0.2">
      <c r="B46" s="219" t="s">
        <v>522</v>
      </c>
      <c r="C46" s="216"/>
      <c r="D46" s="216"/>
      <c r="E46" s="216"/>
      <c r="F46" s="216"/>
      <c r="G46" s="216"/>
    </row>
    <row r="47" spans="2:7" x14ac:dyDescent="0.2">
      <c r="B47" s="216"/>
      <c r="C47" s="216"/>
      <c r="D47" s="216"/>
      <c r="E47" s="216"/>
      <c r="F47" s="216"/>
      <c r="G47" s="216"/>
    </row>
    <row r="48" spans="2:7" ht="39" customHeight="1" x14ac:dyDescent="0.2">
      <c r="B48" s="216"/>
      <c r="C48" s="216"/>
      <c r="D48" s="216"/>
      <c r="E48" s="216"/>
      <c r="F48" s="216"/>
      <c r="G48" s="216"/>
    </row>
    <row r="50" spans="2:9" x14ac:dyDescent="0.2">
      <c r="B50" s="83" t="s">
        <v>523</v>
      </c>
      <c r="E50" s="220" t="s">
        <v>520</v>
      </c>
      <c r="F50" s="221"/>
      <c r="I50" s="142" t="s">
        <v>517</v>
      </c>
    </row>
    <row r="51" spans="2:9" x14ac:dyDescent="0.2">
      <c r="I51" s="143" t="s">
        <v>518</v>
      </c>
    </row>
    <row r="52" spans="2:9" x14ac:dyDescent="0.2">
      <c r="B52" s="217" t="s">
        <v>205</v>
      </c>
      <c r="C52" s="216"/>
      <c r="D52" s="216"/>
      <c r="E52" s="216"/>
      <c r="F52" s="216"/>
      <c r="G52" s="216"/>
      <c r="I52" s="143" t="s">
        <v>519</v>
      </c>
    </row>
    <row r="53" spans="2:9" x14ac:dyDescent="0.2">
      <c r="B53" s="216"/>
      <c r="C53" s="216"/>
      <c r="D53" s="216"/>
      <c r="E53" s="216"/>
      <c r="F53" s="216"/>
      <c r="G53" s="216"/>
      <c r="I53" s="143" t="s">
        <v>520</v>
      </c>
    </row>
    <row r="54" spans="2:9" x14ac:dyDescent="0.2">
      <c r="B54" s="216"/>
      <c r="C54" s="216"/>
      <c r="D54" s="216"/>
      <c r="E54" s="216"/>
      <c r="F54" s="216"/>
      <c r="G54" s="216"/>
    </row>
    <row r="56" spans="2:9" x14ac:dyDescent="0.2">
      <c r="I56" s="144"/>
    </row>
    <row r="57" spans="2:9" x14ac:dyDescent="0.2">
      <c r="I57" s="145" t="s">
        <v>516</v>
      </c>
    </row>
    <row r="58" spans="2:9" x14ac:dyDescent="0.2">
      <c r="I58" s="145" t="s">
        <v>37</v>
      </c>
    </row>
    <row r="60" spans="2:9" x14ac:dyDescent="0.2">
      <c r="I60" s="9"/>
    </row>
    <row r="61" spans="2:9" x14ac:dyDescent="0.2">
      <c r="I61" s="9" t="str">
        <f>Spielplan!W5</f>
        <v>Italien</v>
      </c>
    </row>
    <row r="62" spans="2:9" x14ac:dyDescent="0.2">
      <c r="I62" s="9" t="str">
        <f>Spielplan!W3</f>
        <v>Spanien</v>
      </c>
    </row>
    <row r="63" spans="2:9" x14ac:dyDescent="0.2">
      <c r="I63" s="9" t="str">
        <f>Spielplan!AS33</f>
        <v>Tschechien</v>
      </c>
    </row>
    <row r="64" spans="2:9" x14ac:dyDescent="0.2">
      <c r="I64" s="9" t="str">
        <f>Spielplan!C31</f>
        <v>Polen</v>
      </c>
    </row>
    <row r="65" spans="9:9" x14ac:dyDescent="0.2">
      <c r="I65" s="9" t="str">
        <f>Spielplan!Y3</f>
        <v>Kroatien</v>
      </c>
    </row>
    <row r="66" spans="9:9" x14ac:dyDescent="0.2">
      <c r="I66" s="9" t="str">
        <f>Spielplan!AQ33</f>
        <v>Portugal</v>
      </c>
    </row>
    <row r="67" spans="9:9" x14ac:dyDescent="0.2">
      <c r="I67" s="9" t="str">
        <f>Spielplan!E3</f>
        <v>Schottland</v>
      </c>
    </row>
    <row r="68" spans="9:9" x14ac:dyDescent="0.2">
      <c r="I68" s="9" t="str">
        <f>Spielplan!E31</f>
        <v>Niederlande</v>
      </c>
    </row>
    <row r="69" spans="9:9" x14ac:dyDescent="0.2">
      <c r="I69" s="9" t="str">
        <f>Spielplan!AQ3</f>
        <v>Slowenien</v>
      </c>
    </row>
    <row r="70" spans="9:9" x14ac:dyDescent="0.2">
      <c r="I70" s="9" t="str">
        <f>Spielplan!AS5</f>
        <v>England</v>
      </c>
    </row>
    <row r="71" spans="9:9" x14ac:dyDescent="0.2">
      <c r="I71" s="9" t="str">
        <f>Spielplan!AQ5</f>
        <v>Serbien</v>
      </c>
    </row>
    <row r="72" spans="9:9" x14ac:dyDescent="0.2">
      <c r="I72" s="9" t="str">
        <f>Spielplan!W33</f>
        <v>Rumänien</v>
      </c>
    </row>
    <row r="73" spans="9:9" x14ac:dyDescent="0.2">
      <c r="I73" s="9" t="str">
        <f>Spielplan!AS31</f>
        <v>Georgien</v>
      </c>
    </row>
    <row r="74" spans="9:9" x14ac:dyDescent="0.2">
      <c r="I74" s="9" t="str">
        <f>Spielplan!Y5</f>
        <v>Albanien</v>
      </c>
    </row>
    <row r="75" spans="9:9" x14ac:dyDescent="0.2">
      <c r="I75" s="9" t="str">
        <f>Spielplan!C33</f>
        <v>Österreich</v>
      </c>
    </row>
    <row r="76" spans="9:9" x14ac:dyDescent="0.2">
      <c r="I76" s="9" t="str">
        <f>Spielplan!Y31</f>
        <v>Slowakei</v>
      </c>
    </row>
    <row r="77" spans="9:9" x14ac:dyDescent="0.2">
      <c r="I77" s="9" t="str">
        <f>Spielplan!E5</f>
        <v>Schweiz</v>
      </c>
    </row>
    <row r="78" spans="9:9" x14ac:dyDescent="0.2">
      <c r="I78" s="9" t="str">
        <f>Spielplan!Y33</f>
        <v>Ukraine</v>
      </c>
    </row>
    <row r="79" spans="9:9" x14ac:dyDescent="0.2">
      <c r="I79" s="9" t="str">
        <f>Spielplan!W31</f>
        <v>Belgien</v>
      </c>
    </row>
    <row r="80" spans="9:9" x14ac:dyDescent="0.2">
      <c r="I80" s="9" t="str">
        <f>Spielplan!E33</f>
        <v>Frankreich</v>
      </c>
    </row>
    <row r="81" spans="9:9" x14ac:dyDescent="0.2">
      <c r="I81" s="9" t="str">
        <f>Spielplan!C3</f>
        <v>Deutschland</v>
      </c>
    </row>
    <row r="82" spans="9:9" x14ac:dyDescent="0.2">
      <c r="I82" s="9" t="str">
        <f>Spielplan!AS3</f>
        <v>Dänemark</v>
      </c>
    </row>
    <row r="83" spans="9:9" x14ac:dyDescent="0.2">
      <c r="I83" s="9" t="str">
        <f>Spielplan!AQ31</f>
        <v>Türkei</v>
      </c>
    </row>
    <row r="84" spans="9:9" x14ac:dyDescent="0.2">
      <c r="I84" s="9" t="str">
        <f>Spielplan!C5</f>
        <v>Ungarn</v>
      </c>
    </row>
  </sheetData>
  <sheetProtection algorithmName="SHA-512" hashValue="bu06vNhbddgQoBsHBYJ/V8F+2fCVa4dw2cpi70mcLzKS+6nqDWttJabVbQD+Gf+k/+wfTW+X5G4/33t3ZLVq5g==" saltValue="IAkK944gs1zHlBfwmOKlig==" spinCount="100000" sheet="1" objects="1" scenarios="1"/>
  <mergeCells count="8">
    <mergeCell ref="B25:G27"/>
    <mergeCell ref="B52:G54"/>
    <mergeCell ref="B4:G6"/>
    <mergeCell ref="B14:G14"/>
    <mergeCell ref="B42:G44"/>
    <mergeCell ref="B29:G31"/>
    <mergeCell ref="B46:G48"/>
    <mergeCell ref="E50:F50"/>
  </mergeCells>
  <phoneticPr fontId="1" type="noConversion"/>
  <conditionalFormatting sqref="E50:F50">
    <cfRule type="cellIs" dxfId="0" priority="1" operator="equal">
      <formula>"bitte auswählen"</formula>
    </cfRule>
  </conditionalFormatting>
  <dataValidations count="2">
    <dataValidation type="list" allowBlank="1" showInputMessage="1" showErrorMessage="1" sqref="E13" xr:uid="{EE95EB52-882B-4E9D-A18F-09801E6ACA35}">
      <formula1>"Tendenz,Tordifferenz"</formula1>
    </dataValidation>
    <dataValidation type="list" allowBlank="1" showInputMessage="1" showErrorMessage="1" sqref="E50:F50" xr:uid="{3E4ABB44-C6A8-4063-B50A-DE0A6FFB2DD5}">
      <formula1>$I$50:$I$53</formula1>
    </dataValidation>
  </dataValidations>
  <hyperlinks>
    <hyperlink ref="D2" r:id="rId1" xr:uid="{4E3E9892-E3B8-4657-9A6B-96F9189FF9A3}"/>
  </hyperlinks>
  <pageMargins left="0.78740157499999996" right="0.78740157499999996" top="0.984251969" bottom="0.984251969" header="0.4921259845" footer="0.4921259845"/>
  <pageSetup paperSize="9" orientation="portrait" horizontalDpi="4294967293" verticalDpi="4294967293" r:id="rId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B2:J34"/>
  <sheetViews>
    <sheetView showGridLines="0" showRowColHeaders="0" zoomScaleNormal="100" workbookViewId="0">
      <selection activeCell="I4" sqref="I4"/>
    </sheetView>
  </sheetViews>
  <sheetFormatPr baseColWidth="10" defaultRowHeight="12.75" x14ac:dyDescent="0.2"/>
  <cols>
    <col min="1" max="1" width="6.42578125" customWidth="1"/>
    <col min="13" max="15" width="11.42578125" customWidth="1"/>
  </cols>
  <sheetData>
    <row r="2" spans="2:10" x14ac:dyDescent="0.2">
      <c r="B2" s="20"/>
      <c r="C2" s="21"/>
      <c r="D2" s="21"/>
      <c r="E2" s="21"/>
      <c r="F2" s="21"/>
      <c r="G2" s="21"/>
      <c r="H2" s="21"/>
      <c r="I2" s="21"/>
      <c r="J2" s="22"/>
    </row>
    <row r="3" spans="2:10" x14ac:dyDescent="0.2">
      <c r="B3" s="23" t="s">
        <v>49</v>
      </c>
      <c r="C3" t="s">
        <v>50</v>
      </c>
      <c r="D3" s="25"/>
      <c r="E3" s="25"/>
      <c r="F3" s="25"/>
      <c r="G3" s="26" t="s">
        <v>51</v>
      </c>
      <c r="H3" s="25"/>
      <c r="I3" s="88" t="s">
        <v>701</v>
      </c>
      <c r="J3" s="27"/>
    </row>
    <row r="4" spans="2:10" x14ac:dyDescent="0.2">
      <c r="B4" s="23"/>
      <c r="C4" s="24" t="s">
        <v>52</v>
      </c>
      <c r="D4" s="25"/>
      <c r="E4" s="25"/>
      <c r="F4" s="25"/>
      <c r="G4" s="26" t="s">
        <v>53</v>
      </c>
      <c r="H4" s="25"/>
      <c r="I4" s="28">
        <v>45379</v>
      </c>
      <c r="J4" s="27"/>
    </row>
    <row r="5" spans="2:10" x14ac:dyDescent="0.2">
      <c r="B5" s="29"/>
      <c r="C5" s="30"/>
      <c r="D5" s="30"/>
      <c r="E5" s="30"/>
      <c r="F5" s="30"/>
      <c r="G5" s="30"/>
      <c r="H5" s="30"/>
      <c r="I5" s="30"/>
      <c r="J5" s="31"/>
    </row>
    <row r="6" spans="2:10" x14ac:dyDescent="0.2">
      <c r="B6" s="20"/>
      <c r="C6" s="21"/>
      <c r="D6" s="21"/>
      <c r="E6" s="21"/>
      <c r="F6" s="21"/>
      <c r="G6" s="21"/>
      <c r="H6" s="21"/>
      <c r="I6" s="21"/>
      <c r="J6" s="22"/>
    </row>
    <row r="7" spans="2:10" x14ac:dyDescent="0.2">
      <c r="B7" s="113" t="str">
        <f>"Das UEFA Euro "&amp;Spielplan!CE1&amp;" Excel-Tippspiel ist Freeware und wird präsentiert von:"</f>
        <v>Das UEFA Euro 2024 Excel-Tippspiel ist Freeware und wird präsentiert von:</v>
      </c>
      <c r="C7" s="25"/>
      <c r="D7" s="25"/>
      <c r="E7" s="25"/>
      <c r="F7" s="25"/>
      <c r="G7" s="25"/>
      <c r="H7" s="25"/>
      <c r="I7" s="25"/>
      <c r="J7" s="27"/>
    </row>
    <row r="8" spans="2:10" x14ac:dyDescent="0.2">
      <c r="B8" s="23"/>
      <c r="C8" s="25"/>
      <c r="D8" s="25"/>
      <c r="E8" s="25"/>
      <c r="F8" s="25"/>
      <c r="G8" s="25"/>
      <c r="H8" s="25"/>
      <c r="I8" s="25"/>
      <c r="J8" s="27"/>
    </row>
    <row r="9" spans="2:10" x14ac:dyDescent="0.2">
      <c r="B9" s="23"/>
      <c r="C9" s="25"/>
      <c r="D9" s="25"/>
      <c r="E9" s="25"/>
      <c r="F9" s="25"/>
      <c r="G9" s="25"/>
      <c r="H9" s="25"/>
      <c r="I9" s="25"/>
      <c r="J9" s="27"/>
    </row>
    <row r="10" spans="2:10" ht="149.25" customHeight="1" x14ac:dyDescent="0.2">
      <c r="B10" s="23"/>
      <c r="C10" s="25"/>
      <c r="D10" s="25"/>
      <c r="E10" s="25"/>
      <c r="F10" s="25"/>
      <c r="G10" s="25"/>
      <c r="H10" s="25"/>
      <c r="I10" s="25"/>
      <c r="J10" s="27"/>
    </row>
    <row r="11" spans="2:10" x14ac:dyDescent="0.2">
      <c r="B11" s="23"/>
      <c r="C11" s="25"/>
      <c r="D11" s="25"/>
      <c r="E11" s="25"/>
      <c r="F11" s="25"/>
      <c r="G11" s="25"/>
      <c r="H11" s="25"/>
      <c r="I11" s="25"/>
      <c r="J11" s="27"/>
    </row>
    <row r="12" spans="2:10" x14ac:dyDescent="0.2">
      <c r="B12" s="23"/>
      <c r="C12" s="25"/>
      <c r="D12" s="25"/>
      <c r="E12" s="25"/>
      <c r="F12" s="25"/>
      <c r="G12" s="25"/>
      <c r="H12" s="25"/>
      <c r="I12" s="25"/>
      <c r="J12" s="27"/>
    </row>
    <row r="13" spans="2:10" x14ac:dyDescent="0.2">
      <c r="B13" s="29"/>
      <c r="C13" s="30"/>
      <c r="D13" s="30"/>
      <c r="E13" s="30"/>
      <c r="F13" s="30"/>
      <c r="G13" s="30"/>
      <c r="H13" s="30"/>
      <c r="I13" s="30"/>
      <c r="J13" s="31"/>
    </row>
    <row r="14" spans="2:10" x14ac:dyDescent="0.2">
      <c r="B14" s="20"/>
      <c r="C14" s="21"/>
      <c r="D14" s="21"/>
      <c r="E14" s="21"/>
      <c r="F14" s="21"/>
      <c r="G14" s="21"/>
      <c r="H14" s="21"/>
      <c r="I14" s="21"/>
      <c r="J14" s="22"/>
    </row>
    <row r="15" spans="2:10" x14ac:dyDescent="0.2">
      <c r="B15" s="23"/>
      <c r="C15" s="25"/>
      <c r="D15" s="25"/>
      <c r="E15" s="25"/>
      <c r="F15" s="25"/>
      <c r="G15" s="25"/>
      <c r="H15" s="25"/>
      <c r="I15" s="25"/>
      <c r="J15" s="27"/>
    </row>
    <row r="16" spans="2:10" x14ac:dyDescent="0.2">
      <c r="B16" s="32" t="s">
        <v>54</v>
      </c>
      <c r="C16" s="25"/>
      <c r="D16" s="25"/>
      <c r="E16" s="25"/>
      <c r="F16" s="25"/>
      <c r="G16" s="25"/>
      <c r="H16" s="25"/>
      <c r="I16" s="25"/>
      <c r="J16" s="27"/>
    </row>
    <row r="17" spans="2:10" ht="12.75" customHeight="1" x14ac:dyDescent="0.2">
      <c r="B17" s="222" t="str">
        <f>"Sie dürfen das UEFA Euro "&amp;Spielplan!CE1&amp;" Excel Tippspiel und die Tippauswertung nicht zu kommerziellen Zwecken nutzen. Eine Weiterveröffentlichung ist nur unverändert und unter Nennung der Webseite www.makro-excel.de gestattet."</f>
        <v>Sie dürfen das UEFA Euro 2024 Excel Tippspiel und die Tippauswertung nicht zu kommerziellen Zwecken nutzen. Eine Weiterveröffentlichung ist nur unverändert und unter Nennung der Webseite www.makro-excel.de gestattet.</v>
      </c>
      <c r="C17" s="217"/>
      <c r="D17" s="217"/>
      <c r="E17" s="217"/>
      <c r="F17" s="217"/>
      <c r="G17" s="217"/>
      <c r="H17" s="217"/>
      <c r="I17" s="217"/>
      <c r="J17" s="27"/>
    </row>
    <row r="18" spans="2:10" x14ac:dyDescent="0.2">
      <c r="B18" s="222"/>
      <c r="C18" s="217"/>
      <c r="D18" s="217"/>
      <c r="E18" s="217"/>
      <c r="F18" s="217"/>
      <c r="G18" s="217"/>
      <c r="H18" s="217"/>
      <c r="I18" s="217"/>
      <c r="J18" s="27"/>
    </row>
    <row r="19" spans="2:10" x14ac:dyDescent="0.2">
      <c r="B19" s="222"/>
      <c r="C19" s="217"/>
      <c r="D19" s="217"/>
      <c r="E19" s="217"/>
      <c r="F19" s="217"/>
      <c r="G19" s="217"/>
      <c r="H19" s="217"/>
      <c r="I19" s="217"/>
      <c r="J19" s="27"/>
    </row>
    <row r="20" spans="2:10" x14ac:dyDescent="0.2">
      <c r="B20" s="222" t="s">
        <v>702</v>
      </c>
      <c r="C20" s="223"/>
      <c r="D20" s="223"/>
      <c r="E20" s="223"/>
      <c r="F20" s="223"/>
      <c r="G20" s="223"/>
      <c r="H20" s="223"/>
      <c r="I20" s="223"/>
      <c r="J20" s="27"/>
    </row>
    <row r="21" spans="2:10" x14ac:dyDescent="0.2">
      <c r="B21" s="224"/>
      <c r="C21" s="223"/>
      <c r="D21" s="223"/>
      <c r="E21" s="223"/>
      <c r="F21" s="223"/>
      <c r="G21" s="223"/>
      <c r="H21" s="223"/>
      <c r="I21" s="223"/>
      <c r="J21" s="27"/>
    </row>
    <row r="22" spans="2:10" x14ac:dyDescent="0.2">
      <c r="B22" s="224"/>
      <c r="C22" s="223"/>
      <c r="D22" s="223"/>
      <c r="E22" s="223"/>
      <c r="F22" s="223"/>
      <c r="G22" s="223"/>
      <c r="H22" s="223"/>
      <c r="I22" s="223"/>
      <c r="J22" s="27"/>
    </row>
    <row r="23" spans="2:10" x14ac:dyDescent="0.2">
      <c r="B23" s="224"/>
      <c r="C23" s="223"/>
      <c r="D23" s="223"/>
      <c r="E23" s="223"/>
      <c r="F23" s="223"/>
      <c r="G23" s="223"/>
      <c r="H23" s="223"/>
      <c r="I23" s="223"/>
      <c r="J23" s="27"/>
    </row>
    <row r="24" spans="2:10" x14ac:dyDescent="0.2">
      <c r="B24" s="224"/>
      <c r="C24" s="223"/>
      <c r="D24" s="223"/>
      <c r="E24" s="223"/>
      <c r="F24" s="223"/>
      <c r="G24" s="223"/>
      <c r="H24" s="223"/>
      <c r="I24" s="223"/>
      <c r="J24" s="27"/>
    </row>
    <row r="25" spans="2:10" x14ac:dyDescent="0.2">
      <c r="B25" s="225"/>
      <c r="C25" s="216"/>
      <c r="D25" s="216"/>
      <c r="E25" s="216"/>
      <c r="F25" s="216"/>
      <c r="G25" s="216"/>
      <c r="H25" s="216"/>
      <c r="I25" s="216"/>
      <c r="J25" s="27"/>
    </row>
    <row r="26" spans="2:10" x14ac:dyDescent="0.2">
      <c r="B26" s="225"/>
      <c r="C26" s="216"/>
      <c r="D26" s="216"/>
      <c r="E26" s="216"/>
      <c r="F26" s="216"/>
      <c r="G26" s="216"/>
      <c r="H26" s="216"/>
      <c r="I26" s="216"/>
      <c r="J26" s="27"/>
    </row>
    <row r="27" spans="2:10" x14ac:dyDescent="0.2">
      <c r="B27" s="224" t="s">
        <v>55</v>
      </c>
      <c r="C27" s="223"/>
      <c r="D27" s="223"/>
      <c r="E27" s="223"/>
      <c r="F27" s="223"/>
      <c r="G27" s="223"/>
      <c r="H27" s="223"/>
      <c r="I27" s="223"/>
      <c r="J27" s="27"/>
    </row>
    <row r="28" spans="2:10" x14ac:dyDescent="0.2">
      <c r="B28" s="224"/>
      <c r="C28" s="223"/>
      <c r="D28" s="223"/>
      <c r="E28" s="223"/>
      <c r="F28" s="223"/>
      <c r="G28" s="223"/>
      <c r="H28" s="223"/>
      <c r="I28" s="223"/>
      <c r="J28" s="27"/>
    </row>
    <row r="29" spans="2:10" x14ac:dyDescent="0.2">
      <c r="B29" s="224"/>
      <c r="C29" s="223"/>
      <c r="D29" s="223"/>
      <c r="E29" s="223"/>
      <c r="F29" s="223"/>
      <c r="G29" s="223"/>
      <c r="H29" s="223"/>
      <c r="I29" s="223"/>
      <c r="J29" s="27"/>
    </row>
    <row r="30" spans="2:10" x14ac:dyDescent="0.2">
      <c r="B30" s="115"/>
      <c r="C30" s="114"/>
      <c r="D30" s="114"/>
      <c r="E30" s="114"/>
      <c r="F30" s="114"/>
      <c r="G30" s="114"/>
      <c r="H30" s="114"/>
      <c r="I30" s="114"/>
      <c r="J30" s="27"/>
    </row>
    <row r="31" spans="2:10" x14ac:dyDescent="0.2">
      <c r="B31" s="222" t="s">
        <v>703</v>
      </c>
      <c r="C31" s="223"/>
      <c r="D31" s="223"/>
      <c r="E31" s="223"/>
      <c r="F31" s="223"/>
      <c r="G31" s="223"/>
      <c r="H31" s="223"/>
      <c r="I31" s="223"/>
      <c r="J31" s="27"/>
    </row>
    <row r="32" spans="2:10" x14ac:dyDescent="0.2">
      <c r="B32" s="224"/>
      <c r="C32" s="223"/>
      <c r="D32" s="223"/>
      <c r="E32" s="223"/>
      <c r="F32" s="223"/>
      <c r="G32" s="223"/>
      <c r="H32" s="223"/>
      <c r="I32" s="223"/>
      <c r="J32" s="27"/>
    </row>
    <row r="33" spans="2:10" x14ac:dyDescent="0.2">
      <c r="B33" s="225"/>
      <c r="C33" s="216"/>
      <c r="D33" s="216"/>
      <c r="E33" s="216"/>
      <c r="F33" s="216"/>
      <c r="G33" s="216"/>
      <c r="H33" s="216"/>
      <c r="I33" s="216"/>
      <c r="J33" s="12"/>
    </row>
    <row r="34" spans="2:10" x14ac:dyDescent="0.2">
      <c r="B34" s="29"/>
      <c r="C34" s="30"/>
      <c r="D34" s="30"/>
      <c r="E34" s="30"/>
      <c r="F34" s="30"/>
      <c r="G34" s="30"/>
      <c r="H34" s="30"/>
      <c r="I34" s="30"/>
      <c r="J34" s="31"/>
    </row>
  </sheetData>
  <sheetProtection algorithmName="SHA-512" hashValue="bdH2rnN40KY7ugFUXJ4qYqmiSZpcwMaBIoKGy9ht3ZUhZK5XhBCJV1mNJSDOk5bnYbx61u5tCML2dDrIK31rTQ==" saltValue="VaI1Y+Zbimd2zVRvNUlObA==" spinCount="100000" sheet="1" objects="1" scenarios="1"/>
  <mergeCells count="4">
    <mergeCell ref="B17:I19"/>
    <mergeCell ref="B20:I26"/>
    <mergeCell ref="B27:I29"/>
    <mergeCell ref="B31:I33"/>
  </mergeCells>
  <phoneticPr fontId="1" type="noConversion"/>
  <hyperlinks>
    <hyperlink ref="C4" r:id="rId1" xr:uid="{00000000-0004-0000-0400-000000000000}"/>
  </hyperlinks>
  <pageMargins left="0.78740157499999996" right="0.78740157499999996" top="0.984251969" bottom="0.984251969" header="0.4921259845" footer="0.4921259845"/>
  <pageSetup paperSize="9" scale="84" orientation="portrait" horizontalDpi="4294967293" verticalDpi="4294967293" r:id="rId2"/>
  <headerFooter alignWithMargins="0"/>
  <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18</vt:i4>
      </vt:variant>
    </vt:vector>
  </HeadingPairs>
  <TitlesOfParts>
    <vt:vector size="24" baseType="lpstr">
      <vt:lpstr>Fehler</vt:lpstr>
      <vt:lpstr>Spielplan</vt:lpstr>
      <vt:lpstr>Daten</vt:lpstr>
      <vt:lpstr>Tabelle2</vt:lpstr>
      <vt:lpstr>Spielregeln</vt:lpstr>
      <vt:lpstr>Hinweise</vt:lpstr>
      <vt:lpstr>Dritter_ABF</vt:lpstr>
      <vt:lpstr>Dritter_ACD</vt:lpstr>
      <vt:lpstr>Dritter_BEF</vt:lpstr>
      <vt:lpstr>Dritter_CDE</vt:lpstr>
      <vt:lpstr>Hinweise!Druckbereich</vt:lpstr>
      <vt:lpstr>Spielplan!Druckbereich</vt:lpstr>
      <vt:lpstr>Spielregeln!Druckbereich</vt:lpstr>
      <vt:lpstr>Gruppe_A</vt:lpstr>
      <vt:lpstr>Gruppe_B</vt:lpstr>
      <vt:lpstr>Gruppe_C</vt:lpstr>
      <vt:lpstr>Gruppe_D</vt:lpstr>
      <vt:lpstr>Gruppe_E</vt:lpstr>
      <vt:lpstr>Gruppe_F</vt:lpstr>
      <vt:lpstr>Land</vt:lpstr>
      <vt:lpstr>LandH</vt:lpstr>
      <vt:lpstr>LandV</vt:lpstr>
      <vt:lpstr>Spieltage</vt:lpstr>
      <vt:lpstr>Vereine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MS</dc:creator>
  <cp:lastModifiedBy>Marco Schade</cp:lastModifiedBy>
  <cp:lastPrinted>2021-05-17T19:23:01Z</cp:lastPrinted>
  <dcterms:created xsi:type="dcterms:W3CDTF">2012-02-03T08:55:27Z</dcterms:created>
  <dcterms:modified xsi:type="dcterms:W3CDTF">2024-03-29T12:27:00Z</dcterms:modified>
</cp:coreProperties>
</file>